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Jobs" sheetId="2" state="visible" r:id="rId4"/>
    <sheet name="Reminder Log" sheetId="3" state="visible" r:id="rId5"/>
    <sheet name="Settings" sheetId="4" state="visible" r:id="rId6"/>
    <sheet name="How To Use" sheetId="5" state="visible" r:id="rId7"/>
  </sheets>
  <definedNames>
    <definedName function="false" hidden="true" localSheetId="1" name="_xlnm._FilterDatabase" vbProcedure="false">Jobs!$A$3:$W$503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<sst xmlns="http://schemas.openxmlformats.org/spreadsheetml/2006/main" count="186" uniqueCount="139">
  <si>
    <t xml:space="preserve">JOB HUNT DASHBOARD</t>
  </si>
  <si>
    <t xml:space="preserve">Total Jobs</t>
  </si>
  <si>
    <t xml:space="preserve">Applied</t>
  </si>
  <si>
    <t xml:space="preserve">Interviews</t>
  </si>
  <si>
    <t xml:space="preserve">Offers</t>
  </si>
  <si>
    <t xml:space="preserve">OVERDUE</t>
  </si>
  <si>
    <t xml:space="preserve">Due Soon</t>
  </si>
  <si>
    <t xml:space="preserve">Follow-ups Due</t>
  </si>
  <si>
    <t xml:space="preserve">Response Rate</t>
  </si>
  <si>
    <t xml:space="preserve">Response Rate = (Interview + Offer + Accepted) / Applied. Cards read the Jobs sheet live.</t>
  </si>
  <si>
    <t xml:space="preserve">Pipeline (jobs by status)</t>
  </si>
  <si>
    <t xml:space="preserve">Status</t>
  </si>
  <si>
    <t xml:space="preserve">Jobs</t>
  </si>
  <si>
    <t xml:space="preserve">Share</t>
  </si>
  <si>
    <t xml:space="preserve">Total</t>
  </si>
  <si>
    <t xml:space="preserve">Needs Attention  (overdue, due soon, follow-up due)</t>
  </si>
  <si>
    <t xml:space="preserve">#</t>
  </si>
  <si>
    <t xml:space="preserve">ID</t>
  </si>
  <si>
    <t xml:space="preserve">Company</t>
  </si>
  <si>
    <t xml:space="preserve">Job Title</t>
  </si>
  <si>
    <t xml:space="preserve">Alert</t>
  </si>
  <si>
    <t xml:space="preserve">Days</t>
  </si>
  <si>
    <t xml:space="preserve">Jobs added by each user</t>
  </si>
  <si>
    <t xml:space="preserve">User</t>
  </si>
  <si>
    <t xml:space="preserve">Jobs added</t>
  </si>
  <si>
    <t xml:space="preserve">Add each teammate's name/email to Settings &gt; Users so they show here.</t>
  </si>
  <si>
    <t xml:space="preserve">JOB TRACKER</t>
  </si>
  <si>
    <t xml:space="preserve">Blue headers = you type here  |  Grey headers = automatic (do not type)  |  Add each job on a new row. Status colours &amp; alerts update by themselves.</t>
  </si>
  <si>
    <t xml:space="preserve">Date Added</t>
  </si>
  <si>
    <t xml:space="preserve">Added By</t>
  </si>
  <si>
    <t xml:space="preserve">Location</t>
  </si>
  <si>
    <t xml:space="preserve">Work Type</t>
  </si>
  <si>
    <t xml:space="preserve">Source</t>
  </si>
  <si>
    <t xml:space="preserve">Job Link</t>
  </si>
  <si>
    <t xml:space="preserve">Salary Range</t>
  </si>
  <si>
    <t xml:space="preserve">Priority</t>
  </si>
  <si>
    <t xml:space="preserve">Applied Date</t>
  </si>
  <si>
    <t xml:space="preserve">Deadline</t>
  </si>
  <si>
    <t xml:space="preserve">Last Follow-up</t>
  </si>
  <si>
    <t xml:space="preserve">Next Follow-up</t>
  </si>
  <si>
    <t xml:space="preserve">Days to Action</t>
  </si>
  <si>
    <t xml:space="preserve">Contact Name</t>
  </si>
  <si>
    <t xml:space="preserve">Contact Email</t>
  </si>
  <si>
    <t xml:space="preserve">Notes</t>
  </si>
  <si>
    <t xml:space="preserve">Last Reminder Sent</t>
  </si>
  <si>
    <t xml:space="preserve">Queue #</t>
  </si>
  <si>
    <t xml:space="preserve">Sample User</t>
  </si>
  <si>
    <t xml:space="preserve">Acme Corp</t>
  </si>
  <si>
    <t xml:space="preserve">Data Analyst</t>
  </si>
  <si>
    <t xml:space="preserve">Karachi</t>
  </si>
  <si>
    <t xml:space="preserve">Hybrid</t>
  </si>
  <si>
    <t xml:space="preserve">LinkedIn</t>
  </si>
  <si>
    <t xml:space="preserve">https://example.com/job/1</t>
  </si>
  <si>
    <t xml:space="preserve">$1,200/mo</t>
  </si>
  <si>
    <t xml:space="preserve">High</t>
  </si>
  <si>
    <t xml:space="preserve">To Apply</t>
  </si>
  <si>
    <t xml:space="preserve">Hiring Manager</t>
  </si>
  <si>
    <t xml:space="preserve">hr@acme.example</t>
  </si>
  <si>
    <t xml:space="preserve">SAMPLE ROW - delete me</t>
  </si>
  <si>
    <t xml:space="preserve">Globex</t>
  </si>
  <si>
    <t xml:space="preserve">Backend Developer</t>
  </si>
  <si>
    <t xml:space="preserve">Remote</t>
  </si>
  <si>
    <t xml:space="preserve">Indeed</t>
  </si>
  <si>
    <t xml:space="preserve">https://example.com/job/2</t>
  </si>
  <si>
    <t xml:space="preserve">$2,000/mo</t>
  </si>
  <si>
    <t xml:space="preserve">SAMPLE - deadline passed</t>
  </si>
  <si>
    <t xml:space="preserve">Initech</t>
  </si>
  <si>
    <t xml:space="preserve">Python Developer</t>
  </si>
  <si>
    <t xml:space="preserve">Lahore</t>
  </si>
  <si>
    <t xml:space="preserve">On-site</t>
  </si>
  <si>
    <t xml:space="preserve">Referral</t>
  </si>
  <si>
    <t xml:space="preserve">https://example.com/job/3</t>
  </si>
  <si>
    <t xml:space="preserve">$900/mo</t>
  </si>
  <si>
    <t xml:space="preserve">Medium</t>
  </si>
  <si>
    <t xml:space="preserve">Ayesha Khan</t>
  </si>
  <si>
    <t xml:space="preserve">ayesha@initech.example</t>
  </si>
  <si>
    <t xml:space="preserve">SAMPLE - follow-up overdue</t>
  </si>
  <si>
    <t xml:space="preserve">Umbrella Labs</t>
  </si>
  <si>
    <t xml:space="preserve">ML Engineer</t>
  </si>
  <si>
    <t xml:space="preserve">Company Site</t>
  </si>
  <si>
    <t xml:space="preserve">https://example.com/job/4</t>
  </si>
  <si>
    <t xml:space="preserve">$2,500/mo</t>
  </si>
  <si>
    <t xml:space="preserve">Interview</t>
  </si>
  <si>
    <t xml:space="preserve">Recruiter</t>
  </si>
  <si>
    <t xml:space="preserve">jobs@umbrella.example</t>
  </si>
  <si>
    <t xml:space="preserve">SAMPLE - interview stage</t>
  </si>
  <si>
    <t xml:space="preserve">Hooli</t>
  </si>
  <si>
    <t xml:space="preserve">Frontend Developer</t>
  </si>
  <si>
    <t xml:space="preserve">Islamabad</t>
  </si>
  <si>
    <t xml:space="preserve">Glassdoor</t>
  </si>
  <si>
    <t xml:space="preserve">https://example.com/job/5</t>
  </si>
  <si>
    <t xml:space="preserve">$1,000/mo</t>
  </si>
  <si>
    <t xml:space="preserve">Low</t>
  </si>
  <si>
    <t xml:space="preserve">Rejected</t>
  </si>
  <si>
    <t xml:space="preserve">SAMPLE - closed</t>
  </si>
  <si>
    <t xml:space="preserve">Time sent</t>
  </si>
  <si>
    <t xml:space="preserve">Sent to</t>
  </si>
  <si>
    <t xml:space="preserve">Jobs in email</t>
  </si>
  <si>
    <t xml:space="preserve">Job IDs</t>
  </si>
  <si>
    <t xml:space="preserve">(The reminder script writes a row here every time it sends an email.)</t>
  </si>
  <si>
    <t xml:space="preserve">Settings</t>
  </si>
  <si>
    <t xml:space="preserve">Blue cells = you can change them. Everything else updates automatically.</t>
  </si>
  <si>
    <t xml:space="preserve">Reminder email (owner gets every alert)</t>
  </si>
  <si>
    <t xml:space="preserve">your-email@gmail.com</t>
  </si>
  <si>
    <t xml:space="preserve">Replace with your own email. Assumption: placeholder value.</t>
  </si>
  <si>
    <t xml:space="preserve">Warn before deadline (days)</t>
  </si>
  <si>
    <t xml:space="preserve">Job is 'DUE SOON' when deadline is within this many days.</t>
  </si>
  <si>
    <t xml:space="preserve">Follow up after applying (days)</t>
  </si>
  <si>
    <t xml:space="preserve">Next follow-up = last action date + this many days.</t>
  </si>
  <si>
    <t xml:space="preserve">Repeat reminder every (days)</t>
  </si>
  <si>
    <t xml:space="preserve">Script will not email the same job again before this gap.</t>
  </si>
  <si>
    <t xml:space="preserve">Counts as open?</t>
  </si>
  <si>
    <t xml:space="preserve">Users (Added By)</t>
  </si>
  <si>
    <t xml:space="preserve">Wishlist</t>
  </si>
  <si>
    <t xml:space="preserve">Yes</t>
  </si>
  <si>
    <t xml:space="preserve">Offer</t>
  </si>
  <si>
    <t xml:space="preserve">Rozee.pk</t>
  </si>
  <si>
    <t xml:space="preserve">Accepted</t>
  </si>
  <si>
    <t xml:space="preserve">No</t>
  </si>
  <si>
    <t xml:space="preserve">Other</t>
  </si>
  <si>
    <t xml:space="preserve">Withdrawn</t>
  </si>
  <si>
    <t xml:space="preserve">Ghosted</t>
  </si>
  <si>
    <t xml:space="preserve">'Open' = job still needs your attention. 'No' rows are CLOSED and never trigger reminders.</t>
  </si>
  <si>
    <t xml:space="preserve">HOW TO USE THIS JOB TRACKER</t>
  </si>
  <si>
    <t xml:space="preserve">1. Add a job: go to the Jobs sheet, type on the next empty row (Company, Job Title, Status, Deadline...). Or use menu: Job Tracker &gt; Add Job (Google Sheets).</t>
  </si>
  <si>
    <t xml:space="preserve">2. Not applied yet? Set Status = To Apply and fill Deadline. You get DUE SOON / OVERDUE alerts.</t>
  </si>
  <si>
    <t xml:space="preserve">3. Applied? Fill Applied Date and Status = Applied. Next Follow-up date appears automatically (Applied Date + 7 days, change in Settings).</t>
  </si>
  <si>
    <t xml:space="preserve">4. After you send a follow-up, put today's date in Last Follow-up (or menu: Job Tracker &gt; Mark Follow-up Done). The next follow-up date moves forward.</t>
  </si>
  <si>
    <t xml:space="preserve">5. Job finished (Rejected / Withdrawn / Accepted / Ghosted)? Change Status. It becomes CLOSED and reminders stop.</t>
  </si>
  <si>
    <t xml:space="preserve">6. Many users: share the Google Sheet (Editor access). Everyone adds jobs in the same sheet. 'Added By' fills automatically.</t>
  </si>
  <si>
    <t xml:space="preserve">AUTOMATIC EMAIL REMINDERS (one-time 3-minute setup)</t>
  </si>
  <si>
    <t xml:space="preserve">a) Upload Job-Tracker.xlsx to Google Drive &gt; open with Google Sheets &gt; File &gt; Save as Google Sheets.</t>
  </si>
  <si>
    <t xml:space="preserve">b) Extensions &gt; Apps Script &gt; delete any code &gt; paste everything from Code.gs &gt; Save.</t>
  </si>
  <si>
    <t xml:space="preserve">c) Fill your email in Settings sheet (C4).</t>
  </si>
  <si>
    <t xml:space="preserve">d) Reload the sheet. Menu 'Job Tracker' appears &gt; click 'Turn On Daily Auto-Reminders' &gt; allow permissions.</t>
  </si>
  <si>
    <t xml:space="preserve">e) Every morning at 8 AM the script emails a list of OVERDUE / DUE SOON / FOLLOW-UP DUE jobs. Test now: Job Tracker &gt; Send Reminders Now.</t>
  </si>
  <si>
    <t xml:space="preserve">ALERT MEANINGS</t>
  </si>
  <si>
    <t xml:space="preserve">OVERDUE = deadline passed and you have not applied.   DUE SOON = deadline within warning days.   FOLLOW-UP DUE = time to follow up on an application.   CLOSED = finished.</t>
  </si>
  <si>
    <t xml:space="preserve">Sample rows (notes say SAMPLE) are examples - delete them before real use.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</si>
</sst>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General"/>
    <numFmt numFmtId="168" formatCode="dd\-mmm\-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6"/>
      <color rgb="FF1F3A5F"/>
      <name val="Arial"/>
      <family val="0"/>
      <charset val="1"/>
    </font>
    <font>
      <b val="true"/>
      <sz val="26"/>
      <color rgb="FF2E75B6"/>
      <name val="Arial"/>
      <family val="0"/>
      <charset val="1"/>
    </font>
    <font>
      <b val="true"/>
      <sz val="26"/>
      <color rgb="FFBF8F00"/>
      <name val="Arial"/>
      <family val="0"/>
      <charset val="1"/>
    </font>
    <font>
      <b val="true"/>
      <sz val="26"/>
      <color rgb="FF548235"/>
      <name val="Arial"/>
      <family val="0"/>
      <charset val="1"/>
    </font>
    <font>
      <b val="true"/>
      <sz val="26"/>
      <color rgb="FFC00000"/>
      <name val="Arial"/>
      <family val="0"/>
      <charset val="1"/>
    </font>
    <font>
      <b val="true"/>
      <sz val="26"/>
      <color rgb="FFED7D31"/>
      <name val="Arial"/>
      <family val="0"/>
      <charset val="1"/>
    </font>
    <font>
      <b val="true"/>
      <sz val="26"/>
      <color rgb="FF0E8A7D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20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ED7D31"/>
      </patternFill>
    </fill>
    <fill>
      <patternFill patternType="solid">
        <fgColor rgb="FF548235"/>
        <bgColor rgb="FF666666"/>
      </patternFill>
    </fill>
    <fill>
      <patternFill patternType="solid">
        <fgColor rgb="FFEAF2F8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BF8F00"/>
      </patternFill>
    </fill>
    <fill>
      <patternFill patternType="solid">
        <fgColor rgb="FF0E8A7D"/>
        <bgColor rgb="FF008080"/>
      </patternFill>
    </fill>
    <fill>
      <patternFill patternType="solid">
        <fgColor rgb="FFF2F2F2"/>
        <bgColor rgb="FFEAF2F8"/>
      </patternFill>
    </fill>
    <fill>
      <patternFill patternType="solid">
        <fgColor rgb="FF6B7785"/>
        <bgColor rgb="FF666666"/>
      </patternFill>
    </fill>
    <fill>
      <patternFill patternType="solid">
        <fgColor rgb="FFFFFF99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E8A7D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D966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8A7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D9D9D9"/>
        </patternFill>
      </fill>
    </dxf>
    <dxf>
      <fill>
        <patternFill>
          <bgColor rgb="FFE8E8E8"/>
        </patternFill>
      </fill>
    </dxf>
    <dxf>
      <fill>
        <patternFill>
          <bgColor rgb="FFDDEBF7"/>
        </patternFill>
      </fill>
    </dxf>
    <dxf>
      <fill>
        <patternFill>
          <bgColor rgb="FFBDD7EE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A9D08E"/>
        </patternFill>
      </fill>
    </dxf>
    <dxf>
      <fill>
        <patternFill>
          <bgColor rgb="FFF4B6B6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7F6000"/>
      <rgbColor rgb="FF800080"/>
      <rgbColor rgb="FF0E8A7D"/>
      <rgbColor rgb="FFD0D7DE"/>
      <rgbColor rgb="FF878787"/>
      <rgbColor rgb="FF888888"/>
      <rgbColor rgb="FF666666"/>
      <rgbColor rgb="FFFFF2CC"/>
      <rgbColor rgb="FFDDEBF7"/>
      <rgbColor rgb="FF660066"/>
      <rgbColor rgb="FFF9F9F9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2F8"/>
      <rgbColor rgb="FFE8E8E8"/>
      <rgbColor rgb="FFFFFF99"/>
      <rgbColor rgb="FFC6E0B4"/>
      <rgbColor rgb="FFF4B6B6"/>
      <rgbColor rgb="FFD9D9D9"/>
      <rgbColor rgb="FFF8CBAD"/>
      <rgbColor rgb="FF2E75B6"/>
      <rgbColor rgb="FF33CCCC"/>
      <rgbColor rgb="FFA9D08E"/>
      <rgbColor rgb="FFFFD966"/>
      <rgbColor rgb="FFBF8F00"/>
      <rgbColor rgb="FFED7D31"/>
      <rgbColor rgb="FF6B7785"/>
      <rgbColor rgb="FF999999"/>
      <rgbColor rgb="FF1F3A5F"/>
      <rgbColor rgb="FF548235"/>
      <rgbColor rgb="FF003300"/>
      <rgbColor rgb="FF333300"/>
      <rgbColor rgb="FF993300"/>
      <rgbColor rgb="FF993366"/>
      <rgbColor rgb="FF59595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Jobs</c:v>
                </c:pt>
              </c:strCache>
            </c:strRef>
          </c:tx>
          <c:spPr>
            <a:solidFill>
              <a:srgbClr val="0e8a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Dashboard!$B$16:$B$24</c:f>
              <c:strCache>
                <c:ptCount val="9"/>
                <c:pt idx="0">
                  <c:v>Wishlist</c:v>
                </c:pt>
                <c:pt idx="1">
                  <c:v>To Apply</c:v>
                </c:pt>
                <c:pt idx="2">
                  <c:v>Applied</c:v>
                </c:pt>
                <c:pt idx="3">
                  <c:v>Interview</c:v>
                </c:pt>
                <c:pt idx="4">
                  <c:v>Offer</c:v>
                </c:pt>
                <c:pt idx="5">
                  <c:v>Accepted</c:v>
                </c:pt>
                <c:pt idx="6">
                  <c:v>Rejected</c:v>
                </c:pt>
                <c:pt idx="7">
                  <c:v>Withdrawn</c:v>
                </c:pt>
                <c:pt idx="8">
                  <c:v>Ghosted</c:v>
                </c:pt>
              </c:strCache>
            </c:strRef>
          </c:cat>
          <c:val>
            <c:numRef>
              <c:f>Dashboard!$C$16:$C$24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93387304"/>
        <c:axId val="59126121"/>
      </c:barChart>
      <c:catAx>
        <c:axId val="9338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26121"/>
        <c:crosses val="autoZero"/>
        <c:auto val="1"/>
        <c:lblAlgn val="ctr"/>
        <c:lblOffset val="100"/>
        <c:noMultiLvlLbl val="0"/>
      </c:catAx>
      <c:valAx>
        <c:axId val="591261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873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40680</xdr:rowOff>
    </xdr:from>
    <xdr:to>
      <xdr:col>10</xdr:col>
      <xdr:colOff>820440</xdr:colOff>
      <xdr:row>27</xdr:row>
      <xdr:rowOff>58680</xdr:rowOff>
    </xdr:to>
    <xdr:graphicFrame>
      <xdr:nvGraphicFramePr>
        <xdr:cNvPr id="0" name="Chart 1"/>
        <xdr:cNvGraphicFramePr/>
      </xdr:nvGraphicFramePr>
      <xdr:xfrm>
        <a:off x="3948480" y="2666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8A7D"/>
    <pageSetUpPr fitToPage="false"/>
  </sheetPr>
  <dimension ref="B2:M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.5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tr">
        <f aca="true">"Live view  |  Today: "&amp;TEXT(TODAY(),"dd-mmm-yyyy")</f>
        <v>Live view  |  Today: 07-Oct-2026</v>
      </c>
    </row>
    <row r="5" customFormat="false" ht="15" hidden="false" customHeight="false" outlineLevel="0" collapsed="false">
      <c r="B5" s="3" t="s">
        <v>1</v>
      </c>
      <c r="C5" s="3"/>
      <c r="D5" s="3"/>
      <c r="E5" s="4" t="s">
        <v>2</v>
      </c>
      <c r="F5" s="4"/>
      <c r="G5" s="4"/>
      <c r="H5" s="5" t="s">
        <v>3</v>
      </c>
      <c r="I5" s="5"/>
      <c r="J5" s="5"/>
      <c r="K5" s="6" t="s">
        <v>4</v>
      </c>
      <c r="L5" s="6"/>
      <c r="M5" s="6"/>
    </row>
    <row r="6" customFormat="false" ht="15" hidden="false" customHeight="false" outlineLevel="0" collapsed="false">
      <c r="B6" s="7" t="n">
        <f aca="false">COUNTA(Jobs!$D$4:$D$503)</f>
        <v>5</v>
      </c>
      <c r="C6" s="7"/>
      <c r="D6" s="7"/>
      <c r="E6" s="8" t="n">
        <f aca="false">COUNT(Jobs!$M$4:$M$503)</f>
        <v>3</v>
      </c>
      <c r="F6" s="8"/>
      <c r="G6" s="8"/>
      <c r="H6" s="9" t="n">
        <f aca="false">COUNTIF(Jobs!$L$4:$L$503,"Interview")</f>
        <v>1</v>
      </c>
      <c r="I6" s="9"/>
      <c r="J6" s="9"/>
      <c r="K6" s="10" t="n">
        <f aca="false">COUNTIF(Jobs!$L$4:$L$503,"Offer")+COUNTIF(Jobs!$L$4:$L$503,"Accepted")</f>
        <v>0</v>
      </c>
      <c r="L6" s="10"/>
      <c r="M6" s="10"/>
    </row>
    <row r="7" customFormat="false" ht="15" hidden="false" customHeight="false" outlineLevel="0" collapsed="false">
      <c r="B7" s="7"/>
      <c r="C7" s="7"/>
      <c r="D7" s="7"/>
      <c r="E7" s="8"/>
      <c r="F7" s="8"/>
      <c r="G7" s="8"/>
      <c r="H7" s="9"/>
      <c r="I7" s="9"/>
      <c r="J7" s="9"/>
      <c r="K7" s="10"/>
      <c r="L7" s="10"/>
      <c r="M7" s="10"/>
    </row>
    <row r="9" customFormat="false" ht="15" hidden="false" customHeight="false" outlineLevel="0" collapsed="false">
      <c r="B9" s="11" t="s">
        <v>5</v>
      </c>
      <c r="C9" s="11"/>
      <c r="D9" s="11"/>
      <c r="E9" s="12" t="s">
        <v>6</v>
      </c>
      <c r="F9" s="12"/>
      <c r="G9" s="12"/>
      <c r="H9" s="12" t="s">
        <v>7</v>
      </c>
      <c r="I9" s="12"/>
      <c r="J9" s="12"/>
      <c r="K9" s="13" t="s">
        <v>8</v>
      </c>
      <c r="L9" s="13"/>
      <c r="M9" s="13"/>
    </row>
    <row r="10" customFormat="false" ht="15" hidden="false" customHeight="false" outlineLevel="0" collapsed="false">
      <c r="B10" s="14" t="n">
        <f aca="false">COUNTIF(Jobs!$R$4:$R$503,"OVERDUE")</f>
        <v>1</v>
      </c>
      <c r="C10" s="14"/>
      <c r="D10" s="14"/>
      <c r="E10" s="15" t="n">
        <f aca="false">COUNTIF(Jobs!$R$4:$R$503,"DUE SOON")</f>
        <v>1</v>
      </c>
      <c r="F10" s="15"/>
      <c r="G10" s="15"/>
      <c r="H10" s="15" t="n">
        <f aca="false">COUNTIF(Jobs!$R$4:$R$503,"FOLLOW-UP DUE")</f>
        <v>1</v>
      </c>
      <c r="I10" s="15"/>
      <c r="J10" s="15"/>
      <c r="K10" s="16" t="n">
        <f aca="false">IFERROR((COUNTIF(Jobs!$L$4:$L$503,"Interview")+COUNTIF(Jobs!$L$4:$L$503,"Offer")+COUNTIF(Jobs!$L$4:$L$503,"Accepted"))/COUNT(Jobs!$M$4:$M$503),0)</f>
        <v>0.333333333333333</v>
      </c>
      <c r="L10" s="16"/>
      <c r="M10" s="16"/>
    </row>
    <row r="11" customFormat="false" ht="15" hidden="false" customHeight="false" outlineLevel="0" collapsed="false">
      <c r="B11" s="14"/>
      <c r="C11" s="14"/>
      <c r="D11" s="14"/>
      <c r="E11" s="15"/>
      <c r="F11" s="15"/>
      <c r="G11" s="15"/>
      <c r="H11" s="15"/>
      <c r="I11" s="15"/>
      <c r="J11" s="15"/>
      <c r="K11" s="16"/>
      <c r="L11" s="16"/>
      <c r="M11" s="16"/>
    </row>
    <row r="12" customFormat="false" ht="15" hidden="false" customHeight="false" outlineLevel="0" collapsed="false">
      <c r="B12" s="17" t="s">
        <v>9</v>
      </c>
    </row>
    <row r="14" customFormat="false" ht="16.15" hidden="false" customHeight="false" outlineLevel="0" collapsed="false">
      <c r="B14" s="18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customFormat="false" ht="15" hidden="false" customHeight="false" outlineLevel="0" collapsed="false">
      <c r="B15" s="20" t="s">
        <v>11</v>
      </c>
      <c r="C15" s="20" t="s">
        <v>12</v>
      </c>
      <c r="D15" s="20" t="s">
        <v>13</v>
      </c>
    </row>
    <row r="16" customFormat="false" ht="15" hidden="false" customHeight="false" outlineLevel="0" collapsed="false">
      <c r="B16" s="21" t="str">
        <f aca="false">Settings!B11</f>
        <v>Wishlist</v>
      </c>
      <c r="C16" s="22" t="n">
        <f aca="false">COUNTIF(Jobs!$L$4:$L$503,B16)</f>
        <v>0</v>
      </c>
      <c r="D16" s="23" t="n">
        <f aca="false">IF($C$25=0,0,C16/$C$25)</f>
        <v>0</v>
      </c>
    </row>
    <row r="17" customFormat="false" ht="15" hidden="false" customHeight="false" outlineLevel="0" collapsed="false">
      <c r="B17" s="21" t="str">
        <f aca="false">Settings!B12</f>
        <v>To Apply</v>
      </c>
      <c r="C17" s="22" t="n">
        <f aca="false">COUNTIF(Jobs!$L$4:$L$503,B17)</f>
        <v>2</v>
      </c>
      <c r="D17" s="23" t="n">
        <f aca="false">IF($C$25=0,0,C17/$C$25)</f>
        <v>0.4</v>
      </c>
    </row>
    <row r="18" customFormat="false" ht="15" hidden="false" customHeight="false" outlineLevel="0" collapsed="false">
      <c r="B18" s="21" t="str">
        <f aca="false">Settings!B13</f>
        <v>Applied</v>
      </c>
      <c r="C18" s="22" t="n">
        <f aca="false">COUNTIF(Jobs!$L$4:$L$503,B18)</f>
        <v>1</v>
      </c>
      <c r="D18" s="23" t="n">
        <f aca="false">IF($C$25=0,0,C18/$C$25)</f>
        <v>0.2</v>
      </c>
    </row>
    <row r="19" customFormat="false" ht="15" hidden="false" customHeight="false" outlineLevel="0" collapsed="false">
      <c r="B19" s="21" t="str">
        <f aca="false">Settings!B14</f>
        <v>Interview</v>
      </c>
      <c r="C19" s="22" t="n">
        <f aca="false">COUNTIF(Jobs!$L$4:$L$503,B19)</f>
        <v>1</v>
      </c>
      <c r="D19" s="23" t="n">
        <f aca="false">IF($C$25=0,0,C19/$C$25)</f>
        <v>0.2</v>
      </c>
    </row>
    <row r="20" customFormat="false" ht="15" hidden="false" customHeight="false" outlineLevel="0" collapsed="false">
      <c r="B20" s="21" t="str">
        <f aca="false">Settings!B15</f>
        <v>Offer</v>
      </c>
      <c r="C20" s="22" t="n">
        <f aca="false">COUNTIF(Jobs!$L$4:$L$503,B20)</f>
        <v>0</v>
      </c>
      <c r="D20" s="23" t="n">
        <f aca="false">IF($C$25=0,0,C20/$C$25)</f>
        <v>0</v>
      </c>
    </row>
    <row r="21" customFormat="false" ht="15" hidden="false" customHeight="false" outlineLevel="0" collapsed="false">
      <c r="B21" s="21" t="str">
        <f aca="false">Settings!B16</f>
        <v>Accepted</v>
      </c>
      <c r="C21" s="22" t="n">
        <f aca="false">COUNTIF(Jobs!$L$4:$L$503,B21)</f>
        <v>0</v>
      </c>
      <c r="D21" s="23" t="n">
        <f aca="false">IF($C$25=0,0,C21/$C$25)</f>
        <v>0</v>
      </c>
    </row>
    <row r="22" customFormat="false" ht="15" hidden="false" customHeight="false" outlineLevel="0" collapsed="false">
      <c r="B22" s="21" t="str">
        <f aca="false">Settings!B17</f>
        <v>Rejected</v>
      </c>
      <c r="C22" s="22" t="n">
        <f aca="false">COUNTIF(Jobs!$L$4:$L$503,B22)</f>
        <v>1</v>
      </c>
      <c r="D22" s="23" t="n">
        <f aca="false">IF($C$25=0,0,C22/$C$25)</f>
        <v>0.2</v>
      </c>
    </row>
    <row r="23" customFormat="false" ht="15" hidden="false" customHeight="false" outlineLevel="0" collapsed="false">
      <c r="B23" s="21" t="str">
        <f aca="false">Settings!B18</f>
        <v>Withdrawn</v>
      </c>
      <c r="C23" s="22" t="n">
        <f aca="false">COUNTIF(Jobs!$L$4:$L$503,B23)</f>
        <v>0</v>
      </c>
      <c r="D23" s="23" t="n">
        <f aca="false">IF($C$25=0,0,C23/$C$25)</f>
        <v>0</v>
      </c>
    </row>
    <row r="24" customFormat="false" ht="15" hidden="false" customHeight="false" outlineLevel="0" collapsed="false">
      <c r="B24" s="21" t="str">
        <f aca="false">Settings!B19</f>
        <v>Ghosted</v>
      </c>
      <c r="C24" s="22" t="n">
        <f aca="false">COUNTIF(Jobs!$L$4:$L$503,B24)</f>
        <v>0</v>
      </c>
      <c r="D24" s="23" t="n">
        <f aca="false">IF($C$25=0,0,C24/$C$25)</f>
        <v>0</v>
      </c>
    </row>
    <row r="25" customFormat="false" ht="15" hidden="false" customHeight="false" outlineLevel="0" collapsed="false">
      <c r="B25" s="24" t="s">
        <v>14</v>
      </c>
      <c r="C25" s="25" t="n">
        <f aca="false">SUM(C16:C24)</f>
        <v>5</v>
      </c>
      <c r="D25" s="26" t="n">
        <f aca="false">IF(C25=0,0,SUM(D16:D24))</f>
        <v>1</v>
      </c>
    </row>
    <row r="28" customFormat="false" ht="16.15" hidden="false" customHeight="false" outlineLevel="0" collapsed="false">
      <c r="B28" s="18" t="s">
        <v>15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customFormat="false" ht="15" hidden="false" customHeight="false" outlineLevel="0" collapsed="false">
      <c r="B29" s="20" t="s">
        <v>16</v>
      </c>
      <c r="C29" s="20" t="s">
        <v>17</v>
      </c>
      <c r="D29" s="20" t="s">
        <v>18</v>
      </c>
      <c r="E29" s="20" t="s">
        <v>19</v>
      </c>
      <c r="F29" s="20"/>
      <c r="G29" s="20" t="s">
        <v>11</v>
      </c>
      <c r="H29" s="20" t="s">
        <v>20</v>
      </c>
      <c r="I29" s="20" t="s">
        <v>21</v>
      </c>
    </row>
    <row r="30" customFormat="false" ht="15" hidden="false" customHeight="false" outlineLevel="0" collapsed="false">
      <c r="B30" s="27" t="n">
        <v>1</v>
      </c>
      <c r="C30" s="22" t="str">
        <f aca="false">IFERROR(INDEX(Jobs!$A$4:$A$503,MATCH($B30,Jobs!$W$4:$W$503,0)),"")</f>
        <v>JOB-001</v>
      </c>
      <c r="D30" s="28" t="str">
        <f aca="false">IFERROR(INDEX(Jobs!$D$4:$D$503,MATCH($B30,Jobs!$W$4:$W$503,0)),"")</f>
        <v>Acme Corp</v>
      </c>
      <c r="E30" s="28" t="str">
        <f aca="false">IFERROR(INDEX(Jobs!$E$4:$E$503,MATCH($B30,Jobs!$W$4:$W$503,0)),"")</f>
        <v>Data Analyst</v>
      </c>
      <c r="F30" s="28"/>
      <c r="G30" s="22" t="str">
        <f aca="false">IFERROR(INDEX(Jobs!$L$4:$L$503,MATCH($B30,Jobs!$W$4:$W$503,0)),"")</f>
        <v>To Apply</v>
      </c>
      <c r="H30" s="29" t="str">
        <f aca="false">IFERROR(INDEX(Jobs!$R$4:$R$503,MATCH($B30,Jobs!$W$4:$W$503,0)),"")</f>
        <v>DUE SOON</v>
      </c>
      <c r="I30" s="22" t="n">
        <f aca="false">IFERROR(INDEX(Jobs!$Q$4:$Q$503,MATCH($B30,Jobs!$W$4:$W$503,0)),"")</f>
        <v>2</v>
      </c>
    </row>
    <row r="31" customFormat="false" ht="15" hidden="false" customHeight="false" outlineLevel="0" collapsed="false">
      <c r="B31" s="27" t="n">
        <v>2</v>
      </c>
      <c r="C31" s="22" t="str">
        <f aca="false">IFERROR(INDEX(Jobs!$A$4:$A$503,MATCH($B31,Jobs!$W$4:$W$503,0)),"")</f>
        <v>JOB-002</v>
      </c>
      <c r="D31" s="28" t="str">
        <f aca="false">IFERROR(INDEX(Jobs!$D$4:$D$503,MATCH($B31,Jobs!$W$4:$W$503,0)),"")</f>
        <v>Globex</v>
      </c>
      <c r="E31" s="28" t="str">
        <f aca="false">IFERROR(INDEX(Jobs!$E$4:$E$503,MATCH($B31,Jobs!$W$4:$W$503,0)),"")</f>
        <v>Backend Developer</v>
      </c>
      <c r="F31" s="28"/>
      <c r="G31" s="22" t="str">
        <f aca="false">IFERROR(INDEX(Jobs!$L$4:$L$503,MATCH($B31,Jobs!$W$4:$W$503,0)),"")</f>
        <v>To Apply</v>
      </c>
      <c r="H31" s="29" t="str">
        <f aca="false">IFERROR(INDEX(Jobs!$R$4:$R$503,MATCH($B31,Jobs!$W$4:$W$503,0)),"")</f>
        <v>OVERDUE</v>
      </c>
      <c r="I31" s="22" t="n">
        <f aca="false">IFERROR(INDEX(Jobs!$Q$4:$Q$503,MATCH($B31,Jobs!$W$4:$W$503,0)),"")</f>
        <v>-2</v>
      </c>
    </row>
    <row r="32" customFormat="false" ht="15" hidden="false" customHeight="false" outlineLevel="0" collapsed="false">
      <c r="B32" s="27" t="n">
        <v>3</v>
      </c>
      <c r="C32" s="22" t="str">
        <f aca="false">IFERROR(INDEX(Jobs!$A$4:$A$503,MATCH($B32,Jobs!$W$4:$W$503,0)),"")</f>
        <v>JOB-003</v>
      </c>
      <c r="D32" s="28" t="str">
        <f aca="false">IFERROR(INDEX(Jobs!$D$4:$D$503,MATCH($B32,Jobs!$W$4:$W$503,0)),"")</f>
        <v>Initech</v>
      </c>
      <c r="E32" s="28" t="str">
        <f aca="false">IFERROR(INDEX(Jobs!$E$4:$E$503,MATCH($B32,Jobs!$W$4:$W$503,0)),"")</f>
        <v>Python Developer</v>
      </c>
      <c r="F32" s="28"/>
      <c r="G32" s="22" t="str">
        <f aca="false">IFERROR(INDEX(Jobs!$L$4:$L$503,MATCH($B32,Jobs!$W$4:$W$503,0)),"")</f>
        <v>Applied</v>
      </c>
      <c r="H32" s="29" t="str">
        <f aca="false">IFERROR(INDEX(Jobs!$R$4:$R$503,MATCH($B32,Jobs!$W$4:$W$503,0)),"")</f>
        <v>FOLLOW-UP DUE</v>
      </c>
      <c r="I32" s="22" t="n">
        <f aca="false">IFERROR(INDEX(Jobs!$Q$4:$Q$503,MATCH($B32,Jobs!$W$4:$W$503,0)),"")</f>
        <v>-2</v>
      </c>
    </row>
    <row r="33" customFormat="false" ht="15" hidden="false" customHeight="false" outlineLevel="0" collapsed="false">
      <c r="B33" s="27" t="n">
        <v>4</v>
      </c>
      <c r="C33" s="22" t="str">
        <f aca="false">IFERROR(INDEX(Jobs!$A$4:$A$503,MATCH($B33,Jobs!$W$4:$W$503,0)),"")</f>
        <v/>
      </c>
      <c r="D33" s="28" t="str">
        <f aca="false">IFERROR(INDEX(Jobs!$D$4:$D$503,MATCH($B33,Jobs!$W$4:$W$503,0)),"")</f>
        <v/>
      </c>
      <c r="E33" s="28" t="str">
        <f aca="false">IFERROR(INDEX(Jobs!$E$4:$E$503,MATCH($B33,Jobs!$W$4:$W$503,0)),"")</f>
        <v/>
      </c>
      <c r="F33" s="28"/>
      <c r="G33" s="22" t="str">
        <f aca="false">IFERROR(INDEX(Jobs!$L$4:$L$503,MATCH($B33,Jobs!$W$4:$W$503,0)),"")</f>
        <v/>
      </c>
      <c r="H33" s="29" t="str">
        <f aca="false">IFERROR(INDEX(Jobs!$R$4:$R$503,MATCH($B33,Jobs!$W$4:$W$503,0)),"")</f>
        <v/>
      </c>
      <c r="I33" s="22" t="str">
        <f aca="false">IFERROR(INDEX(Jobs!$Q$4:$Q$503,MATCH($B33,Jobs!$W$4:$W$503,0)),"")</f>
        <v/>
      </c>
    </row>
    <row r="34" customFormat="false" ht="15" hidden="false" customHeight="false" outlineLevel="0" collapsed="false">
      <c r="B34" s="27" t="n">
        <v>5</v>
      </c>
      <c r="C34" s="22" t="str">
        <f aca="false">IFERROR(INDEX(Jobs!$A$4:$A$503,MATCH($B34,Jobs!$W$4:$W$503,0)),"")</f>
        <v/>
      </c>
      <c r="D34" s="28" t="str">
        <f aca="false">IFERROR(INDEX(Jobs!$D$4:$D$503,MATCH($B34,Jobs!$W$4:$W$503,0)),"")</f>
        <v/>
      </c>
      <c r="E34" s="28" t="str">
        <f aca="false">IFERROR(INDEX(Jobs!$E$4:$E$503,MATCH($B34,Jobs!$W$4:$W$503,0)),"")</f>
        <v/>
      </c>
      <c r="F34" s="28"/>
      <c r="G34" s="22" t="str">
        <f aca="false">IFERROR(INDEX(Jobs!$L$4:$L$503,MATCH($B34,Jobs!$W$4:$W$503,0)),"")</f>
        <v/>
      </c>
      <c r="H34" s="29" t="str">
        <f aca="false">IFERROR(INDEX(Jobs!$R$4:$R$503,MATCH($B34,Jobs!$W$4:$W$503,0)),"")</f>
        <v/>
      </c>
      <c r="I34" s="22" t="str">
        <f aca="false">IFERROR(INDEX(Jobs!$Q$4:$Q$503,MATCH($B34,Jobs!$W$4:$W$503,0)),"")</f>
        <v/>
      </c>
    </row>
    <row r="35" customFormat="false" ht="15" hidden="false" customHeight="false" outlineLevel="0" collapsed="false">
      <c r="B35" s="27" t="n">
        <v>6</v>
      </c>
      <c r="C35" s="22" t="str">
        <f aca="false">IFERROR(INDEX(Jobs!$A$4:$A$503,MATCH($B35,Jobs!$W$4:$W$503,0)),"")</f>
        <v/>
      </c>
      <c r="D35" s="28" t="str">
        <f aca="false">IFERROR(INDEX(Jobs!$D$4:$D$503,MATCH($B35,Jobs!$W$4:$W$503,0)),"")</f>
        <v/>
      </c>
      <c r="E35" s="28" t="str">
        <f aca="false">IFERROR(INDEX(Jobs!$E$4:$E$503,MATCH($B35,Jobs!$W$4:$W$503,0)),"")</f>
        <v/>
      </c>
      <c r="F35" s="28"/>
      <c r="G35" s="22" t="str">
        <f aca="false">IFERROR(INDEX(Jobs!$L$4:$L$503,MATCH($B35,Jobs!$W$4:$W$503,0)),"")</f>
        <v/>
      </c>
      <c r="H35" s="29" t="str">
        <f aca="false">IFERROR(INDEX(Jobs!$R$4:$R$503,MATCH($B35,Jobs!$W$4:$W$503,0)),"")</f>
        <v/>
      </c>
      <c r="I35" s="22" t="str">
        <f aca="false">IFERROR(INDEX(Jobs!$Q$4:$Q$503,MATCH($B35,Jobs!$W$4:$W$503,0)),"")</f>
        <v/>
      </c>
    </row>
    <row r="36" customFormat="false" ht="15" hidden="false" customHeight="false" outlineLevel="0" collapsed="false">
      <c r="B36" s="27" t="n">
        <v>7</v>
      </c>
      <c r="C36" s="22" t="str">
        <f aca="false">IFERROR(INDEX(Jobs!$A$4:$A$503,MATCH($B36,Jobs!$W$4:$W$503,0)),"")</f>
        <v/>
      </c>
      <c r="D36" s="28" t="str">
        <f aca="false">IFERROR(INDEX(Jobs!$D$4:$D$503,MATCH($B36,Jobs!$W$4:$W$503,0)),"")</f>
        <v/>
      </c>
      <c r="E36" s="28" t="str">
        <f aca="false">IFERROR(INDEX(Jobs!$E$4:$E$503,MATCH($B36,Jobs!$W$4:$W$503,0)),"")</f>
        <v/>
      </c>
      <c r="F36" s="28"/>
      <c r="G36" s="22" t="str">
        <f aca="false">IFERROR(INDEX(Jobs!$L$4:$L$503,MATCH($B36,Jobs!$W$4:$W$503,0)),"")</f>
        <v/>
      </c>
      <c r="H36" s="29" t="str">
        <f aca="false">IFERROR(INDEX(Jobs!$R$4:$R$503,MATCH($B36,Jobs!$W$4:$W$503,0)),"")</f>
        <v/>
      </c>
      <c r="I36" s="22" t="str">
        <f aca="false">IFERROR(INDEX(Jobs!$Q$4:$Q$503,MATCH($B36,Jobs!$W$4:$W$503,0)),"")</f>
        <v/>
      </c>
    </row>
    <row r="37" customFormat="false" ht="15" hidden="false" customHeight="false" outlineLevel="0" collapsed="false">
      <c r="B37" s="27" t="n">
        <v>8</v>
      </c>
      <c r="C37" s="22" t="str">
        <f aca="false">IFERROR(INDEX(Jobs!$A$4:$A$503,MATCH($B37,Jobs!$W$4:$W$503,0)),"")</f>
        <v/>
      </c>
      <c r="D37" s="28" t="str">
        <f aca="false">IFERROR(INDEX(Jobs!$D$4:$D$503,MATCH($B37,Jobs!$W$4:$W$503,0)),"")</f>
        <v/>
      </c>
      <c r="E37" s="28" t="str">
        <f aca="false">IFERROR(INDEX(Jobs!$E$4:$E$503,MATCH($B37,Jobs!$W$4:$W$503,0)),"")</f>
        <v/>
      </c>
      <c r="F37" s="28"/>
      <c r="G37" s="22" t="str">
        <f aca="false">IFERROR(INDEX(Jobs!$L$4:$L$503,MATCH($B37,Jobs!$W$4:$W$503,0)),"")</f>
        <v/>
      </c>
      <c r="H37" s="29" t="str">
        <f aca="false">IFERROR(INDEX(Jobs!$R$4:$R$503,MATCH($B37,Jobs!$W$4:$W$503,0)),"")</f>
        <v/>
      </c>
      <c r="I37" s="22" t="str">
        <f aca="false">IFERROR(INDEX(Jobs!$Q$4:$Q$503,MATCH($B37,Jobs!$W$4:$W$503,0)),"")</f>
        <v/>
      </c>
    </row>
    <row r="38" customFormat="false" ht="15" hidden="false" customHeight="false" outlineLevel="0" collapsed="false">
      <c r="B38" s="27" t="n">
        <v>9</v>
      </c>
      <c r="C38" s="22" t="str">
        <f aca="false">IFERROR(INDEX(Jobs!$A$4:$A$503,MATCH($B38,Jobs!$W$4:$W$503,0)),"")</f>
        <v/>
      </c>
      <c r="D38" s="28" t="str">
        <f aca="false">IFERROR(INDEX(Jobs!$D$4:$D$503,MATCH($B38,Jobs!$W$4:$W$503,0)),"")</f>
        <v/>
      </c>
      <c r="E38" s="28" t="str">
        <f aca="false">IFERROR(INDEX(Jobs!$E$4:$E$503,MATCH($B38,Jobs!$W$4:$W$503,0)),"")</f>
        <v/>
      </c>
      <c r="F38" s="28"/>
      <c r="G38" s="22" t="str">
        <f aca="false">IFERROR(INDEX(Jobs!$L$4:$L$503,MATCH($B38,Jobs!$W$4:$W$503,0)),"")</f>
        <v/>
      </c>
      <c r="H38" s="29" t="str">
        <f aca="false">IFERROR(INDEX(Jobs!$R$4:$R$503,MATCH($B38,Jobs!$W$4:$W$503,0)),"")</f>
        <v/>
      </c>
      <c r="I38" s="22" t="str">
        <f aca="false">IFERROR(INDEX(Jobs!$Q$4:$Q$503,MATCH($B38,Jobs!$W$4:$W$503,0)),"")</f>
        <v/>
      </c>
    </row>
    <row r="39" customFormat="false" ht="15" hidden="false" customHeight="false" outlineLevel="0" collapsed="false">
      <c r="B39" s="27" t="n">
        <v>10</v>
      </c>
      <c r="C39" s="22" t="str">
        <f aca="false">IFERROR(INDEX(Jobs!$A$4:$A$503,MATCH($B39,Jobs!$W$4:$W$503,0)),"")</f>
        <v/>
      </c>
      <c r="D39" s="28" t="str">
        <f aca="false">IFERROR(INDEX(Jobs!$D$4:$D$503,MATCH($B39,Jobs!$W$4:$W$503,0)),"")</f>
        <v/>
      </c>
      <c r="E39" s="28" t="str">
        <f aca="false">IFERROR(INDEX(Jobs!$E$4:$E$503,MATCH($B39,Jobs!$W$4:$W$503,0)),"")</f>
        <v/>
      </c>
      <c r="F39" s="28"/>
      <c r="G39" s="22" t="str">
        <f aca="false">IFERROR(INDEX(Jobs!$L$4:$L$503,MATCH($B39,Jobs!$W$4:$W$503,0)),"")</f>
        <v/>
      </c>
      <c r="H39" s="29" t="str">
        <f aca="false">IFERROR(INDEX(Jobs!$R$4:$R$503,MATCH($B39,Jobs!$W$4:$W$503,0)),"")</f>
        <v/>
      </c>
      <c r="I39" s="22" t="str">
        <f aca="false">IFERROR(INDEX(Jobs!$Q$4:$Q$503,MATCH($B39,Jobs!$W$4:$W$503,0)),"")</f>
        <v/>
      </c>
    </row>
    <row r="40" customFormat="false" ht="15" hidden="false" customHeight="false" outlineLevel="0" collapsed="false">
      <c r="B40" s="27" t="n">
        <v>11</v>
      </c>
      <c r="C40" s="22" t="str">
        <f aca="false">IFERROR(INDEX(Jobs!$A$4:$A$503,MATCH($B40,Jobs!$W$4:$W$503,0)),"")</f>
        <v/>
      </c>
      <c r="D40" s="28" t="str">
        <f aca="false">IFERROR(INDEX(Jobs!$D$4:$D$503,MATCH($B40,Jobs!$W$4:$W$503,0)),"")</f>
        <v/>
      </c>
      <c r="E40" s="28" t="str">
        <f aca="false">IFERROR(INDEX(Jobs!$E$4:$E$503,MATCH($B40,Jobs!$W$4:$W$503,0)),"")</f>
        <v/>
      </c>
      <c r="F40" s="28"/>
      <c r="G40" s="22" t="str">
        <f aca="false">IFERROR(INDEX(Jobs!$L$4:$L$503,MATCH($B40,Jobs!$W$4:$W$503,0)),"")</f>
        <v/>
      </c>
      <c r="H40" s="29" t="str">
        <f aca="false">IFERROR(INDEX(Jobs!$R$4:$R$503,MATCH($B40,Jobs!$W$4:$W$503,0)),"")</f>
        <v/>
      </c>
      <c r="I40" s="22" t="str">
        <f aca="false">IFERROR(INDEX(Jobs!$Q$4:$Q$503,MATCH($B40,Jobs!$W$4:$W$503,0)),"")</f>
        <v/>
      </c>
    </row>
    <row r="41" customFormat="false" ht="15" hidden="false" customHeight="false" outlineLevel="0" collapsed="false">
      <c r="B41" s="27" t="n">
        <v>12</v>
      </c>
      <c r="C41" s="22" t="str">
        <f aca="false">IFERROR(INDEX(Jobs!$A$4:$A$503,MATCH($B41,Jobs!$W$4:$W$503,0)),"")</f>
        <v/>
      </c>
      <c r="D41" s="28" t="str">
        <f aca="false">IFERROR(INDEX(Jobs!$D$4:$D$503,MATCH($B41,Jobs!$W$4:$W$503,0)),"")</f>
        <v/>
      </c>
      <c r="E41" s="28" t="str">
        <f aca="false">IFERROR(INDEX(Jobs!$E$4:$E$503,MATCH($B41,Jobs!$W$4:$W$503,0)),"")</f>
        <v/>
      </c>
      <c r="F41" s="28"/>
      <c r="G41" s="22" t="str">
        <f aca="false">IFERROR(INDEX(Jobs!$L$4:$L$503,MATCH($B41,Jobs!$W$4:$W$503,0)),"")</f>
        <v/>
      </c>
      <c r="H41" s="29" t="str">
        <f aca="false">IFERROR(INDEX(Jobs!$R$4:$R$503,MATCH($B41,Jobs!$W$4:$W$503,0)),"")</f>
        <v/>
      </c>
      <c r="I41" s="22" t="str">
        <f aca="false">IFERROR(INDEX(Jobs!$Q$4:$Q$503,MATCH($B41,Jobs!$W$4:$W$503,0)),"")</f>
        <v/>
      </c>
    </row>
    <row r="42" customFormat="false" ht="15" hidden="false" customHeight="false" outlineLevel="0" collapsed="false">
      <c r="B42" s="27" t="n">
        <v>13</v>
      </c>
      <c r="C42" s="22" t="str">
        <f aca="false">IFERROR(INDEX(Jobs!$A$4:$A$503,MATCH($B42,Jobs!$W$4:$W$503,0)),"")</f>
        <v/>
      </c>
      <c r="D42" s="28" t="str">
        <f aca="false">IFERROR(INDEX(Jobs!$D$4:$D$503,MATCH($B42,Jobs!$W$4:$W$503,0)),"")</f>
        <v/>
      </c>
      <c r="E42" s="28" t="str">
        <f aca="false">IFERROR(INDEX(Jobs!$E$4:$E$503,MATCH($B42,Jobs!$W$4:$W$503,0)),"")</f>
        <v/>
      </c>
      <c r="F42" s="28"/>
      <c r="G42" s="22" t="str">
        <f aca="false">IFERROR(INDEX(Jobs!$L$4:$L$503,MATCH($B42,Jobs!$W$4:$W$503,0)),"")</f>
        <v/>
      </c>
      <c r="H42" s="29" t="str">
        <f aca="false">IFERROR(INDEX(Jobs!$R$4:$R$503,MATCH($B42,Jobs!$W$4:$W$503,0)),"")</f>
        <v/>
      </c>
      <c r="I42" s="22" t="str">
        <f aca="false">IFERROR(INDEX(Jobs!$Q$4:$Q$503,MATCH($B42,Jobs!$W$4:$W$503,0)),"")</f>
        <v/>
      </c>
    </row>
    <row r="43" customFormat="false" ht="15" hidden="false" customHeight="false" outlineLevel="0" collapsed="false">
      <c r="B43" s="27" t="n">
        <v>14</v>
      </c>
      <c r="C43" s="22" t="str">
        <f aca="false">IFERROR(INDEX(Jobs!$A$4:$A$503,MATCH($B43,Jobs!$W$4:$W$503,0)),"")</f>
        <v/>
      </c>
      <c r="D43" s="28" t="str">
        <f aca="false">IFERROR(INDEX(Jobs!$D$4:$D$503,MATCH($B43,Jobs!$W$4:$W$503,0)),"")</f>
        <v/>
      </c>
      <c r="E43" s="28" t="str">
        <f aca="false">IFERROR(INDEX(Jobs!$E$4:$E$503,MATCH($B43,Jobs!$W$4:$W$503,0)),"")</f>
        <v/>
      </c>
      <c r="F43" s="28"/>
      <c r="G43" s="22" t="str">
        <f aca="false">IFERROR(INDEX(Jobs!$L$4:$L$503,MATCH($B43,Jobs!$W$4:$W$503,0)),"")</f>
        <v/>
      </c>
      <c r="H43" s="29" t="str">
        <f aca="false">IFERROR(INDEX(Jobs!$R$4:$R$503,MATCH($B43,Jobs!$W$4:$W$503,0)),"")</f>
        <v/>
      </c>
      <c r="I43" s="22" t="str">
        <f aca="false">IFERROR(INDEX(Jobs!$Q$4:$Q$503,MATCH($B43,Jobs!$W$4:$W$503,0)),"")</f>
        <v/>
      </c>
    </row>
    <row r="44" customFormat="false" ht="15" hidden="false" customHeight="false" outlineLevel="0" collapsed="false">
      <c r="B44" s="27" t="n">
        <v>15</v>
      </c>
      <c r="C44" s="22" t="str">
        <f aca="false">IFERROR(INDEX(Jobs!$A$4:$A$503,MATCH($B44,Jobs!$W$4:$W$503,0)),"")</f>
        <v/>
      </c>
      <c r="D44" s="28" t="str">
        <f aca="false">IFERROR(INDEX(Jobs!$D$4:$D$503,MATCH($B44,Jobs!$W$4:$W$503,0)),"")</f>
        <v/>
      </c>
      <c r="E44" s="28" t="str">
        <f aca="false">IFERROR(INDEX(Jobs!$E$4:$E$503,MATCH($B44,Jobs!$W$4:$W$503,0)),"")</f>
        <v/>
      </c>
      <c r="F44" s="28"/>
      <c r="G44" s="22" t="str">
        <f aca="false">IFERROR(INDEX(Jobs!$L$4:$L$503,MATCH($B44,Jobs!$W$4:$W$503,0)),"")</f>
        <v/>
      </c>
      <c r="H44" s="29" t="str">
        <f aca="false">IFERROR(INDEX(Jobs!$R$4:$R$503,MATCH($B44,Jobs!$W$4:$W$503,0)),"")</f>
        <v/>
      </c>
      <c r="I44" s="22" t="str">
        <f aca="false">IFERROR(INDEX(Jobs!$Q$4:$Q$503,MATCH($B44,Jobs!$W$4:$W$503,0)),"")</f>
        <v/>
      </c>
    </row>
    <row r="45" customFormat="false" ht="15" hidden="false" customHeight="false" outlineLevel="0" collapsed="false">
      <c r="B45" s="17" t="str">
        <f aca="false">IF(COUNT(Jobs!$W$4:$W$503)=0,"Nothing urgent - great job!",IF(MAX(Jobs!$W$4:$W$503)&lt;=15,"All "&amp;MAX(Jobs!$W$4:$W$503)&amp;" urgent job(s) shown.","Showing the first 15 of "&amp;MAX(Jobs!$W$4:$W$503)&amp;" urgent jobs. Filter the Alert column on the Jobs sheet to see all."))</f>
        <v>All 3 urgent job(s) shown.</v>
      </c>
    </row>
    <row r="48" customFormat="false" ht="16.15" hidden="false" customHeight="false" outlineLevel="0" collapsed="false">
      <c r="B48" s="18" t="s">
        <v>22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customFormat="false" ht="15" hidden="false" customHeight="false" outlineLevel="0" collapsed="false">
      <c r="B49" s="20" t="s">
        <v>23</v>
      </c>
      <c r="C49" s="20" t="s">
        <v>24</v>
      </c>
      <c r="D49" s="20" t="s">
        <v>2</v>
      </c>
      <c r="E49" s="20" t="s">
        <v>3</v>
      </c>
    </row>
    <row r="50" customFormat="false" ht="15" hidden="false" customHeight="false" outlineLevel="0" collapsed="false">
      <c r="B50" s="21" t="str">
        <f aca="false">IF(Settings!K11="","",Settings!K11)</f>
        <v>Sample User</v>
      </c>
      <c r="C50" s="22" t="n">
        <f aca="false">IF($B50="","",COUNTIF(Jobs!$C$4:$C$503,$B50))</f>
        <v>5</v>
      </c>
      <c r="D50" s="22" t="n">
        <f aca="false">IF($B50="","",COUNTIFS(Jobs!$C$4:$C$503,$B50,Jobs!$M$4:$M$503,"&gt;0"))</f>
        <v>3</v>
      </c>
      <c r="E50" s="22" t="n">
        <f aca="false">IF($B50="","",COUNTIFS(Jobs!$C$4:$C$503,$B50,Jobs!$L$4:$L$503,"Interview"))</f>
        <v>1</v>
      </c>
    </row>
    <row r="51" customFormat="false" ht="15" hidden="false" customHeight="false" outlineLevel="0" collapsed="false">
      <c r="B51" s="21" t="str">
        <f aca="false">IF(Settings!K12="","",Settings!K12)</f>
        <v/>
      </c>
      <c r="C51" s="22" t="str">
        <f aca="false">IF($B51="","",COUNTIF(Jobs!$C$4:$C$503,$B51))</f>
        <v/>
      </c>
      <c r="D51" s="22" t="str">
        <f aca="false">IF($B51="","",COUNTIFS(Jobs!$C$4:$C$503,$B51,Jobs!$M$4:$M$503,"&gt;0"))</f>
        <v/>
      </c>
      <c r="E51" s="22" t="str">
        <f aca="false">IF($B51="","",COUNTIFS(Jobs!$C$4:$C$503,$B51,Jobs!$L$4:$L$503,"Interview"))</f>
        <v/>
      </c>
    </row>
    <row r="52" customFormat="false" ht="15" hidden="false" customHeight="false" outlineLevel="0" collapsed="false">
      <c r="B52" s="21" t="str">
        <f aca="false">IF(Settings!K13="","",Settings!K13)</f>
        <v/>
      </c>
      <c r="C52" s="22" t="str">
        <f aca="false">IF($B52="","",COUNTIF(Jobs!$C$4:$C$503,$B52))</f>
        <v/>
      </c>
      <c r="D52" s="22" t="str">
        <f aca="false">IF($B52="","",COUNTIFS(Jobs!$C$4:$C$503,$B52,Jobs!$M$4:$M$503,"&gt;0"))</f>
        <v/>
      </c>
      <c r="E52" s="22" t="str">
        <f aca="false">IF($B52="","",COUNTIFS(Jobs!$C$4:$C$503,$B52,Jobs!$L$4:$L$503,"Interview"))</f>
        <v/>
      </c>
    </row>
    <row r="53" customFormat="false" ht="15" hidden="false" customHeight="false" outlineLevel="0" collapsed="false">
      <c r="B53" s="21" t="str">
        <f aca="false">IF(Settings!K14="","",Settings!K14)</f>
        <v/>
      </c>
      <c r="C53" s="22" t="str">
        <f aca="false">IF($B53="","",COUNTIF(Jobs!$C$4:$C$503,$B53))</f>
        <v/>
      </c>
      <c r="D53" s="22" t="str">
        <f aca="false">IF($B53="","",COUNTIFS(Jobs!$C$4:$C$503,$B53,Jobs!$M$4:$M$503,"&gt;0"))</f>
        <v/>
      </c>
      <c r="E53" s="22" t="str">
        <f aca="false">IF($B53="","",COUNTIFS(Jobs!$C$4:$C$503,$B53,Jobs!$L$4:$L$503,"Interview"))</f>
        <v/>
      </c>
    </row>
    <row r="54" customFormat="false" ht="15" hidden="false" customHeight="false" outlineLevel="0" collapsed="false">
      <c r="B54" s="21" t="str">
        <f aca="false">IF(Settings!K15="","",Settings!K15)</f>
        <v/>
      </c>
      <c r="C54" s="22" t="str">
        <f aca="false">IF($B54="","",COUNTIF(Jobs!$C$4:$C$503,$B54))</f>
        <v/>
      </c>
      <c r="D54" s="22" t="str">
        <f aca="false">IF($B54="","",COUNTIFS(Jobs!$C$4:$C$503,$B54,Jobs!$M$4:$M$503,"&gt;0"))</f>
        <v/>
      </c>
      <c r="E54" s="22" t="str">
        <f aca="false">IF($B54="","",COUNTIFS(Jobs!$C$4:$C$503,$B54,Jobs!$L$4:$L$503,"Interview"))</f>
        <v/>
      </c>
    </row>
    <row r="55" customFormat="false" ht="15" hidden="false" customHeight="false" outlineLevel="0" collapsed="false">
      <c r="B55" s="21" t="str">
        <f aca="false">IF(Settings!K16="","",Settings!K16)</f>
        <v/>
      </c>
      <c r="C55" s="22" t="str">
        <f aca="false">IF($B55="","",COUNTIF(Jobs!$C$4:$C$503,$B55))</f>
        <v/>
      </c>
      <c r="D55" s="22" t="str">
        <f aca="false">IF($B55="","",COUNTIFS(Jobs!$C$4:$C$503,$B55,Jobs!$M$4:$M$503,"&gt;0"))</f>
        <v/>
      </c>
      <c r="E55" s="22" t="str">
        <f aca="false">IF($B55="","",COUNTIFS(Jobs!$C$4:$C$503,$B55,Jobs!$L$4:$L$503,"Interview"))</f>
        <v/>
      </c>
    </row>
    <row r="56" customFormat="false" ht="15" hidden="false" customHeight="false" outlineLevel="0" collapsed="false">
      <c r="B56" s="17" t="s">
        <v>25</v>
      </c>
    </row>
  </sheetData>
  <mergeCells count="32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K9:M9"/>
    <mergeCell ref="B10:D11"/>
    <mergeCell ref="E10:G11"/>
    <mergeCell ref="H10:J11"/>
    <mergeCell ref="K10:M11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</mergeCells>
  <conditionalFormatting sqref="H30:H44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2">
      <formula>"FOLLOW-UP 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8A7D"/>
    <pageSetUpPr fitToPage="false"/>
  </sheetPr>
  <dimension ref="A1:W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4" min="12" style="0" width="12"/>
    <col collapsed="false" customWidth="true" hidden="false" outlineLevel="0" max="16" min="15" style="0" width="13"/>
    <col collapsed="false" customWidth="true" hidden="false" outlineLevel="0" max="17" min="17" style="0" width="10"/>
    <col collapsed="false" customWidth="true" hidden="false" outlineLevel="0" max="19" min="18" style="0" width="16"/>
    <col collapsed="false" customWidth="true" hidden="false" outlineLevel="0" max="20" min="20" style="0" width="24"/>
    <col collapsed="false" customWidth="true" hidden="false" outlineLevel="0" max="21" min="21" style="0" width="32"/>
    <col collapsed="false" customWidth="true" hidden="false" outlineLevel="0" max="22" min="22" style="0" width="16"/>
    <col collapsed="false" customWidth="true" hidden="true" outlineLevel="0" max="23" min="23" style="0" width="8"/>
  </cols>
  <sheetData>
    <row r="1" customFormat="false" ht="24.45" hidden="false" customHeight="false" outlineLevel="0" collapsed="false">
      <c r="A1" s="30" t="s">
        <v>26</v>
      </c>
    </row>
    <row r="2" customFormat="false" ht="15" hidden="false" customHeight="false" outlineLevel="0" collapsed="false">
      <c r="A2" s="2" t="s">
        <v>27</v>
      </c>
    </row>
    <row r="3" customFormat="false" ht="31.5" hidden="false" customHeight="true" outlineLevel="0" collapsed="false">
      <c r="A3" s="31" t="s">
        <v>17</v>
      </c>
      <c r="B3" s="31" t="s">
        <v>28</v>
      </c>
      <c r="C3" s="32" t="s">
        <v>29</v>
      </c>
      <c r="D3" s="32" t="s">
        <v>18</v>
      </c>
      <c r="E3" s="32" t="s">
        <v>19</v>
      </c>
      <c r="F3" s="32" t="s">
        <v>30</v>
      </c>
      <c r="G3" s="32" t="s">
        <v>31</v>
      </c>
      <c r="H3" s="32" t="s">
        <v>32</v>
      </c>
      <c r="I3" s="32" t="s">
        <v>33</v>
      </c>
      <c r="J3" s="32" t="s">
        <v>34</v>
      </c>
      <c r="K3" s="32" t="s">
        <v>35</v>
      </c>
      <c r="L3" s="32" t="s">
        <v>11</v>
      </c>
      <c r="M3" s="32" t="s">
        <v>36</v>
      </c>
      <c r="N3" s="32" t="s">
        <v>37</v>
      </c>
      <c r="O3" s="32" t="s">
        <v>38</v>
      </c>
      <c r="P3" s="31" t="s">
        <v>39</v>
      </c>
      <c r="Q3" s="31" t="s">
        <v>40</v>
      </c>
      <c r="R3" s="31" t="s">
        <v>20</v>
      </c>
      <c r="S3" s="32" t="s">
        <v>41</v>
      </c>
      <c r="T3" s="32" t="s">
        <v>42</v>
      </c>
      <c r="U3" s="32" t="s">
        <v>43</v>
      </c>
      <c r="V3" s="31" t="s">
        <v>44</v>
      </c>
      <c r="W3" s="31" t="s">
        <v>45</v>
      </c>
    </row>
    <row r="4" customFormat="false" ht="15" hidden="false" customHeight="false" outlineLevel="0" collapsed="false">
      <c r="A4" s="33" t="str">
        <f aca="false">IF($D4="","","JOB-"&amp;TEXT(ROW()-3,"000"))</f>
        <v>JOB-001</v>
      </c>
      <c r="B4" s="34" t="n">
        <v>46299</v>
      </c>
      <c r="C4" s="35" t="s">
        <v>46</v>
      </c>
      <c r="D4" s="35" t="s">
        <v>47</v>
      </c>
      <c r="E4" s="35" t="s">
        <v>48</v>
      </c>
      <c r="F4" s="35" t="s">
        <v>49</v>
      </c>
      <c r="G4" s="33" t="s">
        <v>50</v>
      </c>
      <c r="H4" s="35" t="s">
        <v>51</v>
      </c>
      <c r="I4" s="35" t="s">
        <v>52</v>
      </c>
      <c r="J4" s="35" t="s">
        <v>53</v>
      </c>
      <c r="K4" s="33" t="s">
        <v>54</v>
      </c>
      <c r="L4" s="33" t="s">
        <v>55</v>
      </c>
      <c r="M4" s="34"/>
      <c r="N4" s="34" t="n">
        <v>46304</v>
      </c>
      <c r="O4" s="34"/>
      <c r="P4" s="34" t="str">
        <f aca="false">IF(OR($D4="",$M4=""),"",IF(IFERROR(INDEX(Settings!$C$11:$C$19,MATCH($L4,Settings!$B$11:$B$19,0)),"Yes")="No","",MAX($M4,$O4)+Settings!$C$6))</f>
        <v/>
      </c>
      <c r="Q4" s="36" t="n">
        <f aca="true">IF($D4="","",IF(IFERROR(INDEX(Settings!$C$11:$C$19,MATCH($L4,Settings!$B$11:$B$19,0)),"Yes")="No","",IF($M4="",IF($N4="","",$N4-TODAY()),IF($P4="","",$P4-TODAY()))))</f>
        <v>2</v>
      </c>
      <c r="R4" s="37" t="str">
        <f aca="true">IF($D4="","",IF(IFERROR(INDEX(Settings!$C$11:$C$19,MATCH($L4,Settings!$B$11:$B$19,0)),"Yes")="No","CLOSED",IF($M4="",IF($N4="","ON TRACK",IF($N4&lt;TODAY(),"OVERDUE",IF($N4-TODAY()&lt;=Settings!$C$5,"DUE SOON","ON TRACK"))),IF($P4&lt;=TODAY(),"FOLLOW-UP DUE","ON TRACK"))))</f>
        <v>DUE SOON</v>
      </c>
      <c r="S4" s="35" t="s">
        <v>56</v>
      </c>
      <c r="T4" s="35" t="s">
        <v>57</v>
      </c>
      <c r="U4" s="38" t="s">
        <v>58</v>
      </c>
      <c r="V4" s="34"/>
      <c r="W4" s="35" t="n">
        <f aca="false">IF(OR($R4="OVERDUE",$R4="DUE SOON",$R4="FOLLOW-UP DUE"),MAX(W$3:W3)+1,"")</f>
        <v>1</v>
      </c>
    </row>
    <row r="5" customFormat="false" ht="15" hidden="false" customHeight="false" outlineLevel="0" collapsed="false">
      <c r="A5" s="33" t="str">
        <f aca="false">IF($D5="","","JOB-"&amp;TEXT(ROW()-3,"000"))</f>
        <v>JOB-002</v>
      </c>
      <c r="B5" s="34" t="n">
        <v>46296</v>
      </c>
      <c r="C5" s="35" t="s">
        <v>46</v>
      </c>
      <c r="D5" s="35" t="s">
        <v>59</v>
      </c>
      <c r="E5" s="35" t="s">
        <v>60</v>
      </c>
      <c r="F5" s="35" t="s">
        <v>61</v>
      </c>
      <c r="G5" s="33" t="s">
        <v>61</v>
      </c>
      <c r="H5" s="35" t="s">
        <v>62</v>
      </c>
      <c r="I5" s="35" t="s">
        <v>63</v>
      </c>
      <c r="J5" s="35" t="s">
        <v>64</v>
      </c>
      <c r="K5" s="33" t="s">
        <v>54</v>
      </c>
      <c r="L5" s="33" t="s">
        <v>55</v>
      </c>
      <c r="M5" s="34"/>
      <c r="N5" s="34" t="n">
        <v>46300</v>
      </c>
      <c r="O5" s="34"/>
      <c r="P5" s="34" t="str">
        <f aca="false">IF(OR($D5="",$M5=""),"",IF(IFERROR(INDEX(Settings!$C$11:$C$19,MATCH($L5,Settings!$B$11:$B$19,0)),"Yes")="No","",MAX($M5,$O5)+Settings!$C$6))</f>
        <v/>
      </c>
      <c r="Q5" s="36" t="n">
        <f aca="true">IF($D5="","",IF(IFERROR(INDEX(Settings!$C$11:$C$19,MATCH($L5,Settings!$B$11:$B$19,0)),"Yes")="No","",IF($M5="",IF($N5="","",$N5-TODAY()),IF($P5="","",$P5-TODAY()))))</f>
        <v>-2</v>
      </c>
      <c r="R5" s="37" t="str">
        <f aca="true">IF($D5="","",IF(IFERROR(INDEX(Settings!$C$11:$C$19,MATCH($L5,Settings!$B$11:$B$19,0)),"Yes")="No","CLOSED",IF($M5="",IF($N5="","ON TRACK",IF($N5&lt;TODAY(),"OVERDUE",IF($N5-TODAY()&lt;=Settings!$C$5,"DUE SOON","ON TRACK"))),IF($P5&lt;=TODAY(),"FOLLOW-UP DUE","ON TRACK"))))</f>
        <v>OVERDUE</v>
      </c>
      <c r="S5" s="35"/>
      <c r="T5" s="35"/>
      <c r="U5" s="38" t="s">
        <v>65</v>
      </c>
      <c r="V5" s="34"/>
      <c r="W5" s="35" t="n">
        <f aca="false">IF(OR($R5="OVERDUE",$R5="DUE SOON",$R5="FOLLOW-UP DUE"),MAX(W$3:W4)+1,"")</f>
        <v>2</v>
      </c>
    </row>
    <row r="6" customFormat="false" ht="15" hidden="false" customHeight="false" outlineLevel="0" collapsed="false">
      <c r="A6" s="33" t="str">
        <f aca="false">IF($D6="","","JOB-"&amp;TEXT(ROW()-3,"000"))</f>
        <v>JOB-003</v>
      </c>
      <c r="B6" s="34" t="n">
        <v>46290</v>
      </c>
      <c r="C6" s="35" t="s">
        <v>46</v>
      </c>
      <c r="D6" s="35" t="s">
        <v>66</v>
      </c>
      <c r="E6" s="35" t="s">
        <v>67</v>
      </c>
      <c r="F6" s="35" t="s">
        <v>68</v>
      </c>
      <c r="G6" s="33" t="s">
        <v>69</v>
      </c>
      <c r="H6" s="35" t="s">
        <v>70</v>
      </c>
      <c r="I6" s="35" t="s">
        <v>71</v>
      </c>
      <c r="J6" s="35" t="s">
        <v>72</v>
      </c>
      <c r="K6" s="33" t="s">
        <v>73</v>
      </c>
      <c r="L6" s="33" t="s">
        <v>2</v>
      </c>
      <c r="M6" s="34" t="n">
        <v>46293</v>
      </c>
      <c r="N6" s="34"/>
      <c r="O6" s="34"/>
      <c r="P6" s="34" t="n">
        <f aca="false">IF(OR($D6="",$M6=""),"",IF(IFERROR(INDEX(Settings!$C$11:$C$19,MATCH($L6,Settings!$B$11:$B$19,0)),"Yes")="No","",MAX($M6,$O6)+Settings!$C$6))</f>
        <v>46300</v>
      </c>
      <c r="Q6" s="36" t="n">
        <f aca="true">IF($D6="","",IF(IFERROR(INDEX(Settings!$C$11:$C$19,MATCH($L6,Settings!$B$11:$B$19,0)),"Yes")="No","",IF($M6="",IF($N6="","",$N6-TODAY()),IF($P6="","",$P6-TODAY()))))</f>
        <v>-2</v>
      </c>
      <c r="R6" s="37" t="str">
        <f aca="true">IF($D6="","",IF(IFERROR(INDEX(Settings!$C$11:$C$19,MATCH($L6,Settings!$B$11:$B$19,0)),"Yes")="No","CLOSED",IF($M6="",IF($N6="","ON TRACK",IF($N6&lt;TODAY(),"OVERDUE",IF($N6-TODAY()&lt;=Settings!$C$5,"DUE SOON","ON TRACK"))),IF($P6&lt;=TODAY(),"FOLLOW-UP DUE","ON TRACK"))))</f>
        <v>FOLLOW-UP DUE</v>
      </c>
      <c r="S6" s="35" t="s">
        <v>74</v>
      </c>
      <c r="T6" s="35" t="s">
        <v>75</v>
      </c>
      <c r="U6" s="38" t="s">
        <v>76</v>
      </c>
      <c r="V6" s="34"/>
      <c r="W6" s="35" t="n">
        <f aca="false">IF(OR($R6="OVERDUE",$R6="DUE SOON",$R6="FOLLOW-UP DUE"),MAX(W$3:W5)+1,"")</f>
        <v>3</v>
      </c>
    </row>
    <row r="7" customFormat="false" ht="15" hidden="false" customHeight="false" outlineLevel="0" collapsed="false">
      <c r="A7" s="33" t="str">
        <f aca="false">IF($D7="","","JOB-"&amp;TEXT(ROW()-3,"000"))</f>
        <v>JOB-004</v>
      </c>
      <c r="B7" s="34" t="n">
        <v>46294</v>
      </c>
      <c r="C7" s="35" t="s">
        <v>46</v>
      </c>
      <c r="D7" s="35" t="s">
        <v>77</v>
      </c>
      <c r="E7" s="35" t="s">
        <v>78</v>
      </c>
      <c r="F7" s="35" t="s">
        <v>61</v>
      </c>
      <c r="G7" s="33" t="s">
        <v>61</v>
      </c>
      <c r="H7" s="35" t="s">
        <v>79</v>
      </c>
      <c r="I7" s="35" t="s">
        <v>80</v>
      </c>
      <c r="J7" s="35" t="s">
        <v>81</v>
      </c>
      <c r="K7" s="33" t="s">
        <v>54</v>
      </c>
      <c r="L7" s="33" t="s">
        <v>82</v>
      </c>
      <c r="M7" s="34" t="n">
        <v>46296</v>
      </c>
      <c r="N7" s="34"/>
      <c r="O7" s="34"/>
      <c r="P7" s="34" t="n">
        <f aca="false">IF(OR($D7="",$M7=""),"",IF(IFERROR(INDEX(Settings!$C$11:$C$19,MATCH($L7,Settings!$B$11:$B$19,0)),"Yes")="No","",MAX($M7,$O7)+Settings!$C$6))</f>
        <v>46303</v>
      </c>
      <c r="Q7" s="36" t="n">
        <f aca="true">IF($D7="","",IF(IFERROR(INDEX(Settings!$C$11:$C$19,MATCH($L7,Settings!$B$11:$B$19,0)),"Yes")="No","",IF($M7="",IF($N7="","",$N7-TODAY()),IF($P7="","",$P7-TODAY()))))</f>
        <v>1</v>
      </c>
      <c r="R7" s="37" t="str">
        <f aca="true">IF($D7="","",IF(IFERROR(INDEX(Settings!$C$11:$C$19,MATCH($L7,Settings!$B$11:$B$19,0)),"Yes")="No","CLOSED",IF($M7="",IF($N7="","ON TRACK",IF($N7&lt;TODAY(),"OVERDUE",IF($N7-TODAY()&lt;=Settings!$C$5,"DUE SOON","ON TRACK"))),IF($P7&lt;=TODAY(),"FOLLOW-UP DUE","ON TRACK"))))</f>
        <v>ON TRACK</v>
      </c>
      <c r="S7" s="35" t="s">
        <v>83</v>
      </c>
      <c r="T7" s="35" t="s">
        <v>84</v>
      </c>
      <c r="U7" s="38" t="s">
        <v>85</v>
      </c>
      <c r="V7" s="34"/>
      <c r="W7" s="35" t="str">
        <f aca="false">IF(OR($R7="OVERDUE",$R7="DUE SOON",$R7="FOLLOW-UP DUE"),MAX(W$3:W6)+1,"")</f>
        <v/>
      </c>
    </row>
    <row r="8" customFormat="false" ht="15" hidden="false" customHeight="false" outlineLevel="0" collapsed="false">
      <c r="A8" s="33" t="str">
        <f aca="false">IF($D8="","","JOB-"&amp;TEXT(ROW()-3,"000"))</f>
        <v>JOB-005</v>
      </c>
      <c r="B8" s="34" t="n">
        <v>46282</v>
      </c>
      <c r="C8" s="35" t="s">
        <v>46</v>
      </c>
      <c r="D8" s="35" t="s">
        <v>86</v>
      </c>
      <c r="E8" s="35" t="s">
        <v>87</v>
      </c>
      <c r="F8" s="35" t="s">
        <v>88</v>
      </c>
      <c r="G8" s="33" t="s">
        <v>50</v>
      </c>
      <c r="H8" s="35" t="s">
        <v>89</v>
      </c>
      <c r="I8" s="35" t="s">
        <v>90</v>
      </c>
      <c r="J8" s="35" t="s">
        <v>91</v>
      </c>
      <c r="K8" s="33" t="s">
        <v>92</v>
      </c>
      <c r="L8" s="33" t="s">
        <v>93</v>
      </c>
      <c r="M8" s="34" t="n">
        <v>46284</v>
      </c>
      <c r="N8" s="34"/>
      <c r="O8" s="34"/>
      <c r="P8" s="34" t="str">
        <f aca="false">IF(OR($D8="",$M8=""),"",IF(IFERROR(INDEX(Settings!$C$11:$C$19,MATCH($L8,Settings!$B$11:$B$19,0)),"Yes")="No","",MAX($M8,$O8)+Settings!$C$6))</f>
        <v/>
      </c>
      <c r="Q8" s="36" t="str">
        <f aca="true">IF($D8="","",IF(IFERROR(INDEX(Settings!$C$11:$C$19,MATCH($L8,Settings!$B$11:$B$19,0)),"Yes")="No","",IF($M8="",IF($N8="","",$N8-TODAY()),IF($P8="","",$P8-TODAY()))))</f>
        <v/>
      </c>
      <c r="R8" s="37" t="str">
        <f aca="true">IF($D8="","",IF(IFERROR(INDEX(Settings!$C$11:$C$19,MATCH($L8,Settings!$B$11:$B$19,0)),"Yes")="No","CLOSED",IF($M8="",IF($N8="","ON TRACK",IF($N8&lt;TODAY(),"OVERDUE",IF($N8-TODAY()&lt;=Settings!$C$5,"DUE SOON","ON TRACK"))),IF($P8&lt;=TODAY(),"FOLLOW-UP DUE","ON TRACK"))))</f>
        <v>CLOSED</v>
      </c>
      <c r="S8" s="35"/>
      <c r="T8" s="35"/>
      <c r="U8" s="38" t="s">
        <v>94</v>
      </c>
      <c r="V8" s="34"/>
      <c r="W8" s="35" t="str">
        <f aca="false">IF(OR($R8="OVERDUE",$R8="DUE SOON",$R8="FOLLOW-UP DUE"),MAX(W$3:W7)+1,"")</f>
        <v/>
      </c>
    </row>
    <row r="9" customFormat="false" ht="15" hidden="false" customHeight="false" outlineLevel="0" collapsed="false">
      <c r="A9" s="33" t="str">
        <f aca="false">IF($D9="","","JOB-"&amp;TEXT(ROW()-3,"000"))</f>
        <v/>
      </c>
      <c r="B9" s="34"/>
      <c r="C9" s="35"/>
      <c r="D9" s="35"/>
      <c r="E9" s="35"/>
      <c r="F9" s="35"/>
      <c r="G9" s="33"/>
      <c r="H9" s="35"/>
      <c r="I9" s="35"/>
      <c r="J9" s="35"/>
      <c r="K9" s="33"/>
      <c r="L9" s="33"/>
      <c r="M9" s="34"/>
      <c r="N9" s="34"/>
      <c r="O9" s="34"/>
      <c r="P9" s="34" t="str">
        <f aca="false">IF(OR($D9="",$M9=""),"",IF(IFERROR(INDEX(Settings!$C$11:$C$19,MATCH($L9,Settings!$B$11:$B$19,0)),"Yes")="No","",MAX($M9,$O9)+Settings!$C$6))</f>
        <v/>
      </c>
      <c r="Q9" s="36" t="str">
        <f aca="true">IF($D9="","",IF(IFERROR(INDEX(Settings!$C$11:$C$19,MATCH($L9,Settings!$B$11:$B$19,0)),"Yes")="No","",IF($M9="",IF($N9="","",$N9-TODAY()),IF($P9="","",$P9-TODAY()))))</f>
        <v/>
      </c>
      <c r="R9" s="37" t="str">
        <f aca="true">IF($D9="","",IF(IFERROR(INDEX(Settings!$C$11:$C$19,MATCH($L9,Settings!$B$11:$B$19,0)),"Yes")="No","CLOSED",IF($M9="",IF($N9="","ON TRACK",IF($N9&lt;TODAY(),"OVERDUE",IF($N9-TODAY()&lt;=Settings!$C$5,"DUE SOON","ON TRACK"))),IF($P9&lt;=TODAY(),"FOLLOW-UP DUE","ON TRACK"))))</f>
        <v/>
      </c>
      <c r="S9" s="35"/>
      <c r="T9" s="35"/>
      <c r="U9" s="38"/>
      <c r="V9" s="34"/>
      <c r="W9" s="35" t="str">
        <f aca="false">IF(OR($R9="OVERDUE",$R9="DUE SOON",$R9="FOLLOW-UP DUE"),MAX(W$3:W8)+1,"")</f>
        <v/>
      </c>
    </row>
    <row r="10" customFormat="false" ht="15" hidden="false" customHeight="false" outlineLevel="0" collapsed="false">
      <c r="A10" s="33" t="str">
        <f aca="false">IF($D10="","","JOB-"&amp;TEXT(ROW()-3,"000"))</f>
        <v/>
      </c>
      <c r="B10" s="34"/>
      <c r="C10" s="35"/>
      <c r="D10" s="35"/>
      <c r="E10" s="35"/>
      <c r="F10" s="35"/>
      <c r="G10" s="33"/>
      <c r="H10" s="35"/>
      <c r="I10" s="35"/>
      <c r="J10" s="35"/>
      <c r="K10" s="33"/>
      <c r="L10" s="33"/>
      <c r="M10" s="34"/>
      <c r="N10" s="34"/>
      <c r="O10" s="34"/>
      <c r="P10" s="34" t="str">
        <f aca="false">IF(OR($D10="",$M10=""),"",IF(IFERROR(INDEX(Settings!$C$11:$C$19,MATCH($L10,Settings!$B$11:$B$19,0)),"Yes")="No","",MAX($M10,$O10)+Settings!$C$6))</f>
        <v/>
      </c>
      <c r="Q10" s="36" t="str">
        <f aca="true">IF($D10="","",IF(IFERROR(INDEX(Settings!$C$11:$C$19,MATCH($L10,Settings!$B$11:$B$19,0)),"Yes")="No","",IF($M10="",IF($N10="","",$N10-TODAY()),IF($P10="","",$P10-TODAY()))))</f>
        <v/>
      </c>
      <c r="R10" s="37" t="str">
        <f aca="true">IF($D10="","",IF(IFERROR(INDEX(Settings!$C$11:$C$19,MATCH($L10,Settings!$B$11:$B$19,0)),"Yes")="No","CLOSED",IF($M10="",IF($N10="","ON TRACK",IF($N10&lt;TODAY(),"OVERDUE",IF($N10-TODAY()&lt;=Settings!$C$5,"DUE SOON","ON TRACK"))),IF($P10&lt;=TODAY(),"FOLLOW-UP DUE","ON TRACK"))))</f>
        <v/>
      </c>
      <c r="S10" s="35"/>
      <c r="T10" s="35"/>
      <c r="U10" s="38"/>
      <c r="V10" s="34"/>
      <c r="W10" s="35" t="str">
        <f aca="false">IF(OR($R10="OVERDUE",$R10="DUE SOON",$R10="FOLLOW-UP DUE"),MAX(W$3:W9)+1,"")</f>
        <v/>
      </c>
    </row>
    <row r="11" customFormat="false" ht="15" hidden="false" customHeight="false" outlineLevel="0" collapsed="false">
      <c r="A11" s="33" t="str">
        <f aca="false">IF($D11="","","JOB-"&amp;TEXT(ROW()-3,"000"))</f>
        <v/>
      </c>
      <c r="B11" s="34"/>
      <c r="C11" s="35"/>
      <c r="D11" s="35"/>
      <c r="E11" s="35"/>
      <c r="F11" s="35"/>
      <c r="G11" s="33"/>
      <c r="H11" s="35"/>
      <c r="I11" s="35"/>
      <c r="J11" s="35"/>
      <c r="K11" s="33"/>
      <c r="L11" s="33"/>
      <c r="M11" s="34"/>
      <c r="N11" s="34"/>
      <c r="O11" s="34"/>
      <c r="P11" s="34" t="str">
        <f aca="false">IF(OR($D11="",$M11=""),"",IF(IFERROR(INDEX(Settings!$C$11:$C$19,MATCH($L11,Settings!$B$11:$B$19,0)),"Yes")="No","",MAX($M11,$O11)+Settings!$C$6))</f>
        <v/>
      </c>
      <c r="Q11" s="36" t="str">
        <f aca="true">IF($D11="","",IF(IFERROR(INDEX(Settings!$C$11:$C$19,MATCH($L11,Settings!$B$11:$B$19,0)),"Yes")="No","",IF($M11="",IF($N11="","",$N11-TODAY()),IF($P11="","",$P11-TODAY()))))</f>
        <v/>
      </c>
      <c r="R11" s="37" t="str">
        <f aca="true">IF($D11="","",IF(IFERROR(INDEX(Settings!$C$11:$C$19,MATCH($L11,Settings!$B$11:$B$19,0)),"Yes")="No","CLOSED",IF($M11="",IF($N11="","ON TRACK",IF($N11&lt;TODAY(),"OVERDUE",IF($N11-TODAY()&lt;=Settings!$C$5,"DUE SOON","ON TRACK"))),IF($P11&lt;=TODAY(),"FOLLOW-UP DUE","ON TRACK"))))</f>
        <v/>
      </c>
      <c r="S11" s="35"/>
      <c r="T11" s="35"/>
      <c r="U11" s="38"/>
      <c r="V11" s="34"/>
      <c r="W11" s="35" t="str">
        <f aca="false">IF(OR($R11="OVERDUE",$R11="DUE SOON",$R11="FOLLOW-UP DUE"),MAX(W$3:W10)+1,"")</f>
        <v/>
      </c>
    </row>
    <row r="12" customFormat="false" ht="15" hidden="false" customHeight="false" outlineLevel="0" collapsed="false">
      <c r="A12" s="33" t="str">
        <f aca="false">IF($D12="","","JOB-"&amp;TEXT(ROW()-3,"000"))</f>
        <v/>
      </c>
      <c r="B12" s="34"/>
      <c r="C12" s="35"/>
      <c r="D12" s="35"/>
      <c r="E12" s="35"/>
      <c r="F12" s="35"/>
      <c r="G12" s="33"/>
      <c r="H12" s="35"/>
      <c r="I12" s="35"/>
      <c r="J12" s="35"/>
      <c r="K12" s="33"/>
      <c r="L12" s="33"/>
      <c r="M12" s="34"/>
      <c r="N12" s="34"/>
      <c r="O12" s="34"/>
      <c r="P12" s="34" t="str">
        <f aca="false">IF(OR($D12="",$M12=""),"",IF(IFERROR(INDEX(Settings!$C$11:$C$19,MATCH($L12,Settings!$B$11:$B$19,0)),"Yes")="No","",MAX($M12,$O12)+Settings!$C$6))</f>
        <v/>
      </c>
      <c r="Q12" s="36" t="str">
        <f aca="true">IF($D12="","",IF(IFERROR(INDEX(Settings!$C$11:$C$19,MATCH($L12,Settings!$B$11:$B$19,0)),"Yes")="No","",IF($M12="",IF($N12="","",$N12-TODAY()),IF($P12="","",$P12-TODAY()))))</f>
        <v/>
      </c>
      <c r="R12" s="37" t="str">
        <f aca="true">IF($D12="","",IF(IFERROR(INDEX(Settings!$C$11:$C$19,MATCH($L12,Settings!$B$11:$B$19,0)),"Yes")="No","CLOSED",IF($M12="",IF($N12="","ON TRACK",IF($N12&lt;TODAY(),"OVERDUE",IF($N12-TODAY()&lt;=Settings!$C$5,"DUE SOON","ON TRACK"))),IF($P12&lt;=TODAY(),"FOLLOW-UP DUE","ON TRACK"))))</f>
        <v/>
      </c>
      <c r="S12" s="35"/>
      <c r="T12" s="35"/>
      <c r="U12" s="38"/>
      <c r="V12" s="34"/>
      <c r="W12" s="35" t="str">
        <f aca="false">IF(OR($R12="OVERDUE",$R12="DUE SOON",$R12="FOLLOW-UP DUE"),MAX(W$3:W11)+1,"")</f>
        <v/>
      </c>
    </row>
    <row r="13" customFormat="false" ht="15" hidden="false" customHeight="false" outlineLevel="0" collapsed="false">
      <c r="A13" s="33" t="str">
        <f aca="false">IF($D13="","","JOB-"&amp;TEXT(ROW()-3,"000"))</f>
        <v/>
      </c>
      <c r="B13" s="34"/>
      <c r="C13" s="35"/>
      <c r="D13" s="35"/>
      <c r="E13" s="35"/>
      <c r="F13" s="35"/>
      <c r="G13" s="33"/>
      <c r="H13" s="35"/>
      <c r="I13" s="35"/>
      <c r="J13" s="35"/>
      <c r="K13" s="33"/>
      <c r="L13" s="33"/>
      <c r="M13" s="34"/>
      <c r="N13" s="34"/>
      <c r="O13" s="34"/>
      <c r="P13" s="34" t="str">
        <f aca="false">IF(OR($D13="",$M13=""),"",IF(IFERROR(INDEX(Settings!$C$11:$C$19,MATCH($L13,Settings!$B$11:$B$19,0)),"Yes")="No","",MAX($M13,$O13)+Settings!$C$6))</f>
        <v/>
      </c>
      <c r="Q13" s="36" t="str">
        <f aca="true">IF($D13="","",IF(IFERROR(INDEX(Settings!$C$11:$C$19,MATCH($L13,Settings!$B$11:$B$19,0)),"Yes")="No","",IF($M13="",IF($N13="","",$N13-TODAY()),IF($P13="","",$P13-TODAY()))))</f>
        <v/>
      </c>
      <c r="R13" s="37" t="str">
        <f aca="true">IF($D13="","",IF(IFERROR(INDEX(Settings!$C$11:$C$19,MATCH($L13,Settings!$B$11:$B$19,0)),"Yes")="No","CLOSED",IF($M13="",IF($N13="","ON TRACK",IF($N13&lt;TODAY(),"OVERDUE",IF($N13-TODAY()&lt;=Settings!$C$5,"DUE SOON","ON TRACK"))),IF($P13&lt;=TODAY(),"FOLLOW-UP DUE","ON TRACK"))))</f>
        <v/>
      </c>
      <c r="S13" s="35"/>
      <c r="T13" s="35"/>
      <c r="U13" s="38"/>
      <c r="V13" s="34"/>
      <c r="W13" s="35" t="str">
        <f aca="false">IF(OR($R13="OVERDUE",$R13="DUE SOON",$R13="FOLLOW-UP DUE"),MAX(W$3:W12)+1,"")</f>
        <v/>
      </c>
    </row>
    <row r="14" customFormat="false" ht="15" hidden="false" customHeight="false" outlineLevel="0" collapsed="false">
      <c r="A14" s="33" t="str">
        <f aca="false">IF($D14="","","JOB-"&amp;TEXT(ROW()-3,"000"))</f>
        <v/>
      </c>
      <c r="B14" s="34"/>
      <c r="C14" s="35"/>
      <c r="D14" s="35"/>
      <c r="E14" s="35"/>
      <c r="F14" s="35"/>
      <c r="G14" s="33"/>
      <c r="H14" s="35"/>
      <c r="I14" s="35"/>
      <c r="J14" s="35"/>
      <c r="K14" s="33"/>
      <c r="L14" s="33"/>
      <c r="M14" s="34"/>
      <c r="N14" s="34"/>
      <c r="O14" s="34"/>
      <c r="P14" s="34" t="str">
        <f aca="false">IF(OR($D14="",$M14=""),"",IF(IFERROR(INDEX(Settings!$C$11:$C$19,MATCH($L14,Settings!$B$11:$B$19,0)),"Yes")="No","",MAX($M14,$O14)+Settings!$C$6))</f>
        <v/>
      </c>
      <c r="Q14" s="36" t="str">
        <f aca="true">IF($D14="","",IF(IFERROR(INDEX(Settings!$C$11:$C$19,MATCH($L14,Settings!$B$11:$B$19,0)),"Yes")="No","",IF($M14="",IF($N14="","",$N14-TODAY()),IF($P14="","",$P14-TODAY()))))</f>
        <v/>
      </c>
      <c r="R14" s="37" t="str">
        <f aca="true">IF($D14="","",IF(IFERROR(INDEX(Settings!$C$11:$C$19,MATCH($L14,Settings!$B$11:$B$19,0)),"Yes")="No","CLOSED",IF($M14="",IF($N14="","ON TRACK",IF($N14&lt;TODAY(),"OVERDUE",IF($N14-TODAY()&lt;=Settings!$C$5,"DUE SOON","ON TRACK"))),IF($P14&lt;=TODAY(),"FOLLOW-UP DUE","ON TRACK"))))</f>
        <v/>
      </c>
      <c r="S14" s="35"/>
      <c r="T14" s="35"/>
      <c r="U14" s="38"/>
      <c r="V14" s="34"/>
      <c r="W14" s="35" t="str">
        <f aca="false">IF(OR($R14="OVERDUE",$R14="DUE SOON",$R14="FOLLOW-UP DUE"),MAX(W$3:W13)+1,"")</f>
        <v/>
      </c>
    </row>
    <row r="15" customFormat="false" ht="15" hidden="false" customHeight="false" outlineLevel="0" collapsed="false">
      <c r="A15" s="33" t="str">
        <f aca="false">IF($D15="","","JOB-"&amp;TEXT(ROW()-3,"000"))</f>
        <v/>
      </c>
      <c r="B15" s="34"/>
      <c r="C15" s="35"/>
      <c r="D15" s="35"/>
      <c r="E15" s="35"/>
      <c r="F15" s="35"/>
      <c r="G15" s="33"/>
      <c r="H15" s="35"/>
      <c r="I15" s="35"/>
      <c r="J15" s="35"/>
      <c r="K15" s="33"/>
      <c r="L15" s="33"/>
      <c r="M15" s="34"/>
      <c r="N15" s="34"/>
      <c r="O15" s="34"/>
      <c r="P15" s="34" t="str">
        <f aca="false">IF(OR($D15="",$M15=""),"",IF(IFERROR(INDEX(Settings!$C$11:$C$19,MATCH($L15,Settings!$B$11:$B$19,0)),"Yes")="No","",MAX($M15,$O15)+Settings!$C$6))</f>
        <v/>
      </c>
      <c r="Q15" s="36" t="str">
        <f aca="true">IF($D15="","",IF(IFERROR(INDEX(Settings!$C$11:$C$19,MATCH($L15,Settings!$B$11:$B$19,0)),"Yes")="No","",IF($M15="",IF($N15="","",$N15-TODAY()),IF($P15="","",$P15-TODAY()))))</f>
        <v/>
      </c>
      <c r="R15" s="37" t="str">
        <f aca="true">IF($D15="","",IF(IFERROR(INDEX(Settings!$C$11:$C$19,MATCH($L15,Settings!$B$11:$B$19,0)),"Yes")="No","CLOSED",IF($M15="",IF($N15="","ON TRACK",IF($N15&lt;TODAY(),"OVERDUE",IF($N15-TODAY()&lt;=Settings!$C$5,"DUE SOON","ON TRACK"))),IF($P15&lt;=TODAY(),"FOLLOW-UP DUE","ON TRACK"))))</f>
        <v/>
      </c>
      <c r="S15" s="35"/>
      <c r="T15" s="35"/>
      <c r="U15" s="38"/>
      <c r="V15" s="34"/>
      <c r="W15" s="35" t="str">
        <f aca="false">IF(OR($R15="OVERDUE",$R15="DUE SOON",$R15="FOLLOW-UP DUE"),MAX(W$3:W14)+1,"")</f>
        <v/>
      </c>
    </row>
    <row r="16" customFormat="false" ht="15" hidden="false" customHeight="false" outlineLevel="0" collapsed="false">
      <c r="A16" s="33" t="str">
        <f aca="false">IF($D16="","","JOB-"&amp;TEXT(ROW()-3,"000"))</f>
        <v/>
      </c>
      <c r="B16" s="34"/>
      <c r="C16" s="35"/>
      <c r="D16" s="35"/>
      <c r="E16" s="35"/>
      <c r="F16" s="35"/>
      <c r="G16" s="33"/>
      <c r="H16" s="35"/>
      <c r="I16" s="35"/>
      <c r="J16" s="35"/>
      <c r="K16" s="33"/>
      <c r="L16" s="33"/>
      <c r="M16" s="34"/>
      <c r="N16" s="34"/>
      <c r="O16" s="34"/>
      <c r="P16" s="34" t="str">
        <f aca="false">IF(OR($D16="",$M16=""),"",IF(IFERROR(INDEX(Settings!$C$11:$C$19,MATCH($L16,Settings!$B$11:$B$19,0)),"Yes")="No","",MAX($M16,$O16)+Settings!$C$6))</f>
        <v/>
      </c>
      <c r="Q16" s="36" t="str">
        <f aca="true">IF($D16="","",IF(IFERROR(INDEX(Settings!$C$11:$C$19,MATCH($L16,Settings!$B$11:$B$19,0)),"Yes")="No","",IF($M16="",IF($N16="","",$N16-TODAY()),IF($P16="","",$P16-TODAY()))))</f>
        <v/>
      </c>
      <c r="R16" s="37" t="str">
        <f aca="true">IF($D16="","",IF(IFERROR(INDEX(Settings!$C$11:$C$19,MATCH($L16,Settings!$B$11:$B$19,0)),"Yes")="No","CLOSED",IF($M16="",IF($N16="","ON TRACK",IF($N16&lt;TODAY(),"OVERDUE",IF($N16-TODAY()&lt;=Settings!$C$5,"DUE SOON","ON TRACK"))),IF($P16&lt;=TODAY(),"FOLLOW-UP DUE","ON TRACK"))))</f>
        <v/>
      </c>
      <c r="S16" s="35"/>
      <c r="T16" s="35"/>
      <c r="U16" s="38"/>
      <c r="V16" s="34"/>
      <c r="W16" s="35" t="str">
        <f aca="false">IF(OR($R16="OVERDUE",$R16="DUE SOON",$R16="FOLLOW-UP DUE"),MAX(W$3:W15)+1,"")</f>
        <v/>
      </c>
    </row>
    <row r="17" customFormat="false" ht="15" hidden="false" customHeight="false" outlineLevel="0" collapsed="false">
      <c r="A17" s="33" t="str">
        <f aca="false">IF($D17="","","JOB-"&amp;TEXT(ROW()-3,"000"))</f>
        <v/>
      </c>
      <c r="B17" s="34"/>
      <c r="C17" s="35"/>
      <c r="D17" s="35"/>
      <c r="E17" s="35"/>
      <c r="F17" s="35"/>
      <c r="G17" s="33"/>
      <c r="H17" s="35"/>
      <c r="I17" s="35"/>
      <c r="J17" s="35"/>
      <c r="K17" s="33"/>
      <c r="L17" s="33"/>
      <c r="M17" s="34"/>
      <c r="N17" s="34"/>
      <c r="O17" s="34"/>
      <c r="P17" s="34" t="str">
        <f aca="false">IF(OR($D17="",$M17=""),"",IF(IFERROR(INDEX(Settings!$C$11:$C$19,MATCH($L17,Settings!$B$11:$B$19,0)),"Yes")="No","",MAX($M17,$O17)+Settings!$C$6))</f>
        <v/>
      </c>
      <c r="Q17" s="36" t="str">
        <f aca="true">IF($D17="","",IF(IFERROR(INDEX(Settings!$C$11:$C$19,MATCH($L17,Settings!$B$11:$B$19,0)),"Yes")="No","",IF($M17="",IF($N17="","",$N17-TODAY()),IF($P17="","",$P17-TODAY()))))</f>
        <v/>
      </c>
      <c r="R17" s="37" t="str">
        <f aca="true">IF($D17="","",IF(IFERROR(INDEX(Settings!$C$11:$C$19,MATCH($L17,Settings!$B$11:$B$19,0)),"Yes")="No","CLOSED",IF($M17="",IF($N17="","ON TRACK",IF($N17&lt;TODAY(),"OVERDUE",IF($N17-TODAY()&lt;=Settings!$C$5,"DUE SOON","ON TRACK"))),IF($P17&lt;=TODAY(),"FOLLOW-UP DUE","ON TRACK"))))</f>
        <v/>
      </c>
      <c r="S17" s="35"/>
      <c r="T17" s="35"/>
      <c r="U17" s="38"/>
      <c r="V17" s="34"/>
      <c r="W17" s="35" t="str">
        <f aca="false">IF(OR($R17="OVERDUE",$R17="DUE SOON",$R17="FOLLOW-UP DUE"),MAX(W$3:W16)+1,"")</f>
        <v/>
      </c>
    </row>
    <row r="18" customFormat="false" ht="15" hidden="false" customHeight="false" outlineLevel="0" collapsed="false">
      <c r="A18" s="33" t="str">
        <f aca="false">IF($D18="","","JOB-"&amp;TEXT(ROW()-3,"000"))</f>
        <v/>
      </c>
      <c r="B18" s="34"/>
      <c r="C18" s="35"/>
      <c r="D18" s="35"/>
      <c r="E18" s="35"/>
      <c r="F18" s="35"/>
      <c r="G18" s="33"/>
      <c r="H18" s="35"/>
      <c r="I18" s="35"/>
      <c r="J18" s="35"/>
      <c r="K18" s="33"/>
      <c r="L18" s="33"/>
      <c r="M18" s="34"/>
      <c r="N18" s="34"/>
      <c r="O18" s="34"/>
      <c r="P18" s="34" t="str">
        <f aca="false">IF(OR($D18="",$M18=""),"",IF(IFERROR(INDEX(Settings!$C$11:$C$19,MATCH($L18,Settings!$B$11:$B$19,0)),"Yes")="No","",MAX($M18,$O18)+Settings!$C$6))</f>
        <v/>
      </c>
      <c r="Q18" s="36" t="str">
        <f aca="true">IF($D18="","",IF(IFERROR(INDEX(Settings!$C$11:$C$19,MATCH($L18,Settings!$B$11:$B$19,0)),"Yes")="No","",IF($M18="",IF($N18="","",$N18-TODAY()),IF($P18="","",$P18-TODAY()))))</f>
        <v/>
      </c>
      <c r="R18" s="37" t="str">
        <f aca="true">IF($D18="","",IF(IFERROR(INDEX(Settings!$C$11:$C$19,MATCH($L18,Settings!$B$11:$B$19,0)),"Yes")="No","CLOSED",IF($M18="",IF($N18="","ON TRACK",IF($N18&lt;TODAY(),"OVERDUE",IF($N18-TODAY()&lt;=Settings!$C$5,"DUE SOON","ON TRACK"))),IF($P18&lt;=TODAY(),"FOLLOW-UP DUE","ON TRACK"))))</f>
        <v/>
      </c>
      <c r="S18" s="35"/>
      <c r="T18" s="35"/>
      <c r="U18" s="38"/>
      <c r="V18" s="34"/>
      <c r="W18" s="35" t="str">
        <f aca="false">IF(OR($R18="OVERDUE",$R18="DUE SOON",$R18="FOLLOW-UP DUE"),MAX(W$3:W17)+1,"")</f>
        <v/>
      </c>
    </row>
    <row r="19" customFormat="false" ht="15" hidden="false" customHeight="false" outlineLevel="0" collapsed="false">
      <c r="A19" s="33" t="str">
        <f aca="false">IF($D19="","","JOB-"&amp;TEXT(ROW()-3,"000"))</f>
        <v/>
      </c>
      <c r="B19" s="34"/>
      <c r="C19" s="35"/>
      <c r="D19" s="35"/>
      <c r="E19" s="35"/>
      <c r="F19" s="35"/>
      <c r="G19" s="33"/>
      <c r="H19" s="35"/>
      <c r="I19" s="35"/>
      <c r="J19" s="35"/>
      <c r="K19" s="33"/>
      <c r="L19" s="33"/>
      <c r="M19" s="34"/>
      <c r="N19" s="34"/>
      <c r="O19" s="34"/>
      <c r="P19" s="34" t="str">
        <f aca="false">IF(OR($D19="",$M19=""),"",IF(IFERROR(INDEX(Settings!$C$11:$C$19,MATCH($L19,Settings!$B$11:$B$19,0)),"Yes")="No","",MAX($M19,$O19)+Settings!$C$6))</f>
        <v/>
      </c>
      <c r="Q19" s="36" t="str">
        <f aca="true">IF($D19="","",IF(IFERROR(INDEX(Settings!$C$11:$C$19,MATCH($L19,Settings!$B$11:$B$19,0)),"Yes")="No","",IF($M19="",IF($N19="","",$N19-TODAY()),IF($P19="","",$P19-TODAY()))))</f>
        <v/>
      </c>
      <c r="R19" s="37" t="str">
        <f aca="true">IF($D19="","",IF(IFERROR(INDEX(Settings!$C$11:$C$19,MATCH($L19,Settings!$B$11:$B$19,0)),"Yes")="No","CLOSED",IF($M19="",IF($N19="","ON TRACK",IF($N19&lt;TODAY(),"OVERDUE",IF($N19-TODAY()&lt;=Settings!$C$5,"DUE SOON","ON TRACK"))),IF($P19&lt;=TODAY(),"FOLLOW-UP DUE","ON TRACK"))))</f>
        <v/>
      </c>
      <c r="S19" s="35"/>
      <c r="T19" s="35"/>
      <c r="U19" s="38"/>
      <c r="V19" s="34"/>
      <c r="W19" s="35" t="str">
        <f aca="false">IF(OR($R19="OVERDUE",$R19="DUE SOON",$R19="FOLLOW-UP DUE"),MAX(W$3:W18)+1,"")</f>
        <v/>
      </c>
    </row>
    <row r="20" customFormat="false" ht="15" hidden="false" customHeight="false" outlineLevel="0" collapsed="false">
      <c r="A20" s="33" t="str">
        <f aca="false">IF($D20="","","JOB-"&amp;TEXT(ROW()-3,"000"))</f>
        <v/>
      </c>
      <c r="B20" s="34"/>
      <c r="C20" s="35"/>
      <c r="D20" s="35"/>
      <c r="E20" s="35"/>
      <c r="F20" s="35"/>
      <c r="G20" s="33"/>
      <c r="H20" s="35"/>
      <c r="I20" s="35"/>
      <c r="J20" s="35"/>
      <c r="K20" s="33"/>
      <c r="L20" s="33"/>
      <c r="M20" s="34"/>
      <c r="N20" s="34"/>
      <c r="O20" s="34"/>
      <c r="P20" s="34" t="str">
        <f aca="false">IF(OR($D20="",$M20=""),"",IF(IFERROR(INDEX(Settings!$C$11:$C$19,MATCH($L20,Settings!$B$11:$B$19,0)),"Yes")="No","",MAX($M20,$O20)+Settings!$C$6))</f>
        <v/>
      </c>
      <c r="Q20" s="36" t="str">
        <f aca="true">IF($D20="","",IF(IFERROR(INDEX(Settings!$C$11:$C$19,MATCH($L20,Settings!$B$11:$B$19,0)),"Yes")="No","",IF($M20="",IF($N20="","",$N20-TODAY()),IF($P20="","",$P20-TODAY()))))</f>
        <v/>
      </c>
      <c r="R20" s="37" t="str">
        <f aca="true">IF($D20="","",IF(IFERROR(INDEX(Settings!$C$11:$C$19,MATCH($L20,Settings!$B$11:$B$19,0)),"Yes")="No","CLOSED",IF($M20="",IF($N20="","ON TRACK",IF($N20&lt;TODAY(),"OVERDUE",IF($N20-TODAY()&lt;=Settings!$C$5,"DUE SOON","ON TRACK"))),IF($P20&lt;=TODAY(),"FOLLOW-UP DUE","ON TRACK"))))</f>
        <v/>
      </c>
      <c r="S20" s="35"/>
      <c r="T20" s="35"/>
      <c r="U20" s="38"/>
      <c r="V20" s="34"/>
      <c r="W20" s="35" t="str">
        <f aca="false">IF(OR($R20="OVERDUE",$R20="DUE SOON",$R20="FOLLOW-UP DUE"),MAX(W$3:W19)+1,"")</f>
        <v/>
      </c>
    </row>
    <row r="21" customFormat="false" ht="15" hidden="false" customHeight="false" outlineLevel="0" collapsed="false">
      <c r="A21" s="33" t="str">
        <f aca="false">IF($D21="","","JOB-"&amp;TEXT(ROW()-3,"000"))</f>
        <v/>
      </c>
      <c r="B21" s="34"/>
      <c r="C21" s="35"/>
      <c r="D21" s="35"/>
      <c r="E21" s="35"/>
      <c r="F21" s="35"/>
      <c r="G21" s="33"/>
      <c r="H21" s="35"/>
      <c r="I21" s="35"/>
      <c r="J21" s="35"/>
      <c r="K21" s="33"/>
      <c r="L21" s="33"/>
      <c r="M21" s="34"/>
      <c r="N21" s="34"/>
      <c r="O21" s="34"/>
      <c r="P21" s="34" t="str">
        <f aca="false">IF(OR($D21="",$M21=""),"",IF(IFERROR(INDEX(Settings!$C$11:$C$19,MATCH($L21,Settings!$B$11:$B$19,0)),"Yes")="No","",MAX($M21,$O21)+Settings!$C$6))</f>
        <v/>
      </c>
      <c r="Q21" s="36" t="str">
        <f aca="true">IF($D21="","",IF(IFERROR(INDEX(Settings!$C$11:$C$19,MATCH($L21,Settings!$B$11:$B$19,0)),"Yes")="No","",IF($M21="",IF($N21="","",$N21-TODAY()),IF($P21="","",$P21-TODAY()))))</f>
        <v/>
      </c>
      <c r="R21" s="37" t="str">
        <f aca="true">IF($D21="","",IF(IFERROR(INDEX(Settings!$C$11:$C$19,MATCH($L21,Settings!$B$11:$B$19,0)),"Yes")="No","CLOSED",IF($M21="",IF($N21="","ON TRACK",IF($N21&lt;TODAY(),"OVERDUE",IF($N21-TODAY()&lt;=Settings!$C$5,"DUE SOON","ON TRACK"))),IF($P21&lt;=TODAY(),"FOLLOW-UP DUE","ON TRACK"))))</f>
        <v/>
      </c>
      <c r="S21" s="35"/>
      <c r="T21" s="35"/>
      <c r="U21" s="38"/>
      <c r="V21" s="34"/>
      <c r="W21" s="35" t="str">
        <f aca="false">IF(OR($R21="OVERDUE",$R21="DUE SOON",$R21="FOLLOW-UP DUE"),MAX(W$3:W20)+1,"")</f>
        <v/>
      </c>
    </row>
    <row r="22" customFormat="false" ht="15" hidden="false" customHeight="false" outlineLevel="0" collapsed="false">
      <c r="A22" s="33" t="str">
        <f aca="false">IF($D22="","","JOB-"&amp;TEXT(ROW()-3,"000"))</f>
        <v/>
      </c>
      <c r="B22" s="34"/>
      <c r="C22" s="35"/>
      <c r="D22" s="35"/>
      <c r="E22" s="35"/>
      <c r="F22" s="35"/>
      <c r="G22" s="33"/>
      <c r="H22" s="35"/>
      <c r="I22" s="35"/>
      <c r="J22" s="35"/>
      <c r="K22" s="33"/>
      <c r="L22" s="33"/>
      <c r="M22" s="34"/>
      <c r="N22" s="34"/>
      <c r="O22" s="34"/>
      <c r="P22" s="34" t="str">
        <f aca="false">IF(OR($D22="",$M22=""),"",IF(IFERROR(INDEX(Settings!$C$11:$C$19,MATCH($L22,Settings!$B$11:$B$19,0)),"Yes")="No","",MAX($M22,$O22)+Settings!$C$6))</f>
        <v/>
      </c>
      <c r="Q22" s="36" t="str">
        <f aca="true">IF($D22="","",IF(IFERROR(INDEX(Settings!$C$11:$C$19,MATCH($L22,Settings!$B$11:$B$19,0)),"Yes")="No","",IF($M22="",IF($N22="","",$N22-TODAY()),IF($P22="","",$P22-TODAY()))))</f>
        <v/>
      </c>
      <c r="R22" s="37" t="str">
        <f aca="true">IF($D22="","",IF(IFERROR(INDEX(Settings!$C$11:$C$19,MATCH($L22,Settings!$B$11:$B$19,0)),"Yes")="No","CLOSED",IF($M22="",IF($N22="","ON TRACK",IF($N22&lt;TODAY(),"OVERDUE",IF($N22-TODAY()&lt;=Settings!$C$5,"DUE SOON","ON TRACK"))),IF($P22&lt;=TODAY(),"FOLLOW-UP DUE","ON TRACK"))))</f>
        <v/>
      </c>
      <c r="S22" s="35"/>
      <c r="T22" s="35"/>
      <c r="U22" s="38"/>
      <c r="V22" s="34"/>
      <c r="W22" s="35" t="str">
        <f aca="false">IF(OR($R22="OVERDUE",$R22="DUE SOON",$R22="FOLLOW-UP DUE"),MAX(W$3:W21)+1,"")</f>
        <v/>
      </c>
    </row>
    <row r="23" customFormat="false" ht="15" hidden="false" customHeight="false" outlineLevel="0" collapsed="false">
      <c r="A23" s="33" t="str">
        <f aca="false">IF($D23="","","JOB-"&amp;TEXT(ROW()-3,"000"))</f>
        <v/>
      </c>
      <c r="B23" s="34"/>
      <c r="C23" s="35"/>
      <c r="D23" s="35"/>
      <c r="E23" s="35"/>
      <c r="F23" s="35"/>
      <c r="G23" s="33"/>
      <c r="H23" s="35"/>
      <c r="I23" s="35"/>
      <c r="J23" s="35"/>
      <c r="K23" s="33"/>
      <c r="L23" s="33"/>
      <c r="M23" s="34"/>
      <c r="N23" s="34"/>
      <c r="O23" s="34"/>
      <c r="P23" s="34" t="str">
        <f aca="false">IF(OR($D23="",$M23=""),"",IF(IFERROR(INDEX(Settings!$C$11:$C$19,MATCH($L23,Settings!$B$11:$B$19,0)),"Yes")="No","",MAX($M23,$O23)+Settings!$C$6))</f>
        <v/>
      </c>
      <c r="Q23" s="36" t="str">
        <f aca="true">IF($D23="","",IF(IFERROR(INDEX(Settings!$C$11:$C$19,MATCH($L23,Settings!$B$11:$B$19,0)),"Yes")="No","",IF($M23="",IF($N23="","",$N23-TODAY()),IF($P23="","",$P23-TODAY()))))</f>
        <v/>
      </c>
      <c r="R23" s="37" t="str">
        <f aca="true">IF($D23="","",IF(IFERROR(INDEX(Settings!$C$11:$C$19,MATCH($L23,Settings!$B$11:$B$19,0)),"Yes")="No","CLOSED",IF($M23="",IF($N23="","ON TRACK",IF($N23&lt;TODAY(),"OVERDUE",IF($N23-TODAY()&lt;=Settings!$C$5,"DUE SOON","ON TRACK"))),IF($P23&lt;=TODAY(),"FOLLOW-UP DUE","ON TRACK"))))</f>
        <v/>
      </c>
      <c r="S23" s="35"/>
      <c r="T23" s="35"/>
      <c r="U23" s="38"/>
      <c r="V23" s="34"/>
      <c r="W23" s="35" t="str">
        <f aca="false">IF(OR($R23="OVERDUE",$R23="DUE SOON",$R23="FOLLOW-UP DUE"),MAX(W$3:W22)+1,"")</f>
        <v/>
      </c>
    </row>
    <row r="24" customFormat="false" ht="15" hidden="false" customHeight="false" outlineLevel="0" collapsed="false">
      <c r="A24" s="33" t="str">
        <f aca="false">IF($D24="","","JOB-"&amp;TEXT(ROW()-3,"000"))</f>
        <v/>
      </c>
      <c r="B24" s="34"/>
      <c r="C24" s="35"/>
      <c r="D24" s="35"/>
      <c r="E24" s="35"/>
      <c r="F24" s="35"/>
      <c r="G24" s="33"/>
      <c r="H24" s="35"/>
      <c r="I24" s="35"/>
      <c r="J24" s="35"/>
      <c r="K24" s="33"/>
      <c r="L24" s="33"/>
      <c r="M24" s="34"/>
      <c r="N24" s="34"/>
      <c r="O24" s="34"/>
      <c r="P24" s="34" t="str">
        <f aca="false">IF(OR($D24="",$M24=""),"",IF(IFERROR(INDEX(Settings!$C$11:$C$19,MATCH($L24,Settings!$B$11:$B$19,0)),"Yes")="No","",MAX($M24,$O24)+Settings!$C$6))</f>
        <v/>
      </c>
      <c r="Q24" s="36" t="str">
        <f aca="true">IF($D24="","",IF(IFERROR(INDEX(Settings!$C$11:$C$19,MATCH($L24,Settings!$B$11:$B$19,0)),"Yes")="No","",IF($M24="",IF($N24="","",$N24-TODAY()),IF($P24="","",$P24-TODAY()))))</f>
        <v/>
      </c>
      <c r="R24" s="37" t="str">
        <f aca="true">IF($D24="","",IF(IFERROR(INDEX(Settings!$C$11:$C$19,MATCH($L24,Settings!$B$11:$B$19,0)),"Yes")="No","CLOSED",IF($M24="",IF($N24="","ON TRACK",IF($N24&lt;TODAY(),"OVERDUE",IF($N24-TODAY()&lt;=Settings!$C$5,"DUE SOON","ON TRACK"))),IF($P24&lt;=TODAY(),"FOLLOW-UP DUE","ON TRACK"))))</f>
        <v/>
      </c>
      <c r="S24" s="35"/>
      <c r="T24" s="35"/>
      <c r="U24" s="38"/>
      <c r="V24" s="34"/>
      <c r="W24" s="35" t="str">
        <f aca="false">IF(OR($R24="OVERDUE",$R24="DUE SOON",$R24="FOLLOW-UP DUE"),MAX(W$3:W23)+1,"")</f>
        <v/>
      </c>
    </row>
    <row r="25" customFormat="false" ht="15" hidden="false" customHeight="false" outlineLevel="0" collapsed="false">
      <c r="A25" s="33" t="str">
        <f aca="false">IF($D25="","","JOB-"&amp;TEXT(ROW()-3,"000"))</f>
        <v/>
      </c>
      <c r="B25" s="34"/>
      <c r="C25" s="35"/>
      <c r="D25" s="35"/>
      <c r="E25" s="35"/>
      <c r="F25" s="35"/>
      <c r="G25" s="33"/>
      <c r="H25" s="35"/>
      <c r="I25" s="35"/>
      <c r="J25" s="35"/>
      <c r="K25" s="33"/>
      <c r="L25" s="33"/>
      <c r="M25" s="34"/>
      <c r="N25" s="34"/>
      <c r="O25" s="34"/>
      <c r="P25" s="34" t="str">
        <f aca="false">IF(OR($D25="",$M25=""),"",IF(IFERROR(INDEX(Settings!$C$11:$C$19,MATCH($L25,Settings!$B$11:$B$19,0)),"Yes")="No","",MAX($M25,$O25)+Settings!$C$6))</f>
        <v/>
      </c>
      <c r="Q25" s="36" t="str">
        <f aca="true">IF($D25="","",IF(IFERROR(INDEX(Settings!$C$11:$C$19,MATCH($L25,Settings!$B$11:$B$19,0)),"Yes")="No","",IF($M25="",IF($N25="","",$N25-TODAY()),IF($P25="","",$P25-TODAY()))))</f>
        <v/>
      </c>
      <c r="R25" s="37" t="str">
        <f aca="true">IF($D25="","",IF(IFERROR(INDEX(Settings!$C$11:$C$19,MATCH($L25,Settings!$B$11:$B$19,0)),"Yes")="No","CLOSED",IF($M25="",IF($N25="","ON TRACK",IF($N25&lt;TODAY(),"OVERDUE",IF($N25-TODAY()&lt;=Settings!$C$5,"DUE SOON","ON TRACK"))),IF($P25&lt;=TODAY(),"FOLLOW-UP DUE","ON TRACK"))))</f>
        <v/>
      </c>
      <c r="S25" s="35"/>
      <c r="T25" s="35"/>
      <c r="U25" s="38"/>
      <c r="V25" s="34"/>
      <c r="W25" s="35" t="str">
        <f aca="false">IF(OR($R25="OVERDUE",$R25="DUE SOON",$R25="FOLLOW-UP DUE"),MAX(W$3:W24)+1,"")</f>
        <v/>
      </c>
    </row>
    <row r="26" customFormat="false" ht="15" hidden="false" customHeight="false" outlineLevel="0" collapsed="false">
      <c r="A26" s="33" t="str">
        <f aca="false">IF($D26="","","JOB-"&amp;TEXT(ROW()-3,"000"))</f>
        <v/>
      </c>
      <c r="B26" s="34"/>
      <c r="C26" s="35"/>
      <c r="D26" s="35"/>
      <c r="E26" s="35"/>
      <c r="F26" s="35"/>
      <c r="G26" s="33"/>
      <c r="H26" s="35"/>
      <c r="I26" s="35"/>
      <c r="J26" s="35"/>
      <c r="K26" s="33"/>
      <c r="L26" s="33"/>
      <c r="M26" s="34"/>
      <c r="N26" s="34"/>
      <c r="O26" s="34"/>
      <c r="P26" s="34" t="str">
        <f aca="false">IF(OR($D26="",$M26=""),"",IF(IFERROR(INDEX(Settings!$C$11:$C$19,MATCH($L26,Settings!$B$11:$B$19,0)),"Yes")="No","",MAX($M26,$O26)+Settings!$C$6))</f>
        <v/>
      </c>
      <c r="Q26" s="36" t="str">
        <f aca="true">IF($D26="","",IF(IFERROR(INDEX(Settings!$C$11:$C$19,MATCH($L26,Settings!$B$11:$B$19,0)),"Yes")="No","",IF($M26="",IF($N26="","",$N26-TODAY()),IF($P26="","",$P26-TODAY()))))</f>
        <v/>
      </c>
      <c r="R26" s="37" t="str">
        <f aca="true">IF($D26="","",IF(IFERROR(INDEX(Settings!$C$11:$C$19,MATCH($L26,Settings!$B$11:$B$19,0)),"Yes")="No","CLOSED",IF($M26="",IF($N26="","ON TRACK",IF($N26&lt;TODAY(),"OVERDUE",IF($N26-TODAY()&lt;=Settings!$C$5,"DUE SOON","ON TRACK"))),IF($P26&lt;=TODAY(),"FOLLOW-UP DUE","ON TRACK"))))</f>
        <v/>
      </c>
      <c r="S26" s="35"/>
      <c r="T26" s="35"/>
      <c r="U26" s="38"/>
      <c r="V26" s="34"/>
      <c r="W26" s="35" t="str">
        <f aca="false">IF(OR($R26="OVERDUE",$R26="DUE SOON",$R26="FOLLOW-UP DUE"),MAX(W$3:W25)+1,"")</f>
        <v/>
      </c>
    </row>
    <row r="27" customFormat="false" ht="15" hidden="false" customHeight="false" outlineLevel="0" collapsed="false">
      <c r="A27" s="33" t="str">
        <f aca="false">IF($D27="","","JOB-"&amp;TEXT(ROW()-3,"000"))</f>
        <v/>
      </c>
      <c r="B27" s="34"/>
      <c r="C27" s="35"/>
      <c r="D27" s="35"/>
      <c r="E27" s="35"/>
      <c r="F27" s="35"/>
      <c r="G27" s="33"/>
      <c r="H27" s="35"/>
      <c r="I27" s="35"/>
      <c r="J27" s="35"/>
      <c r="K27" s="33"/>
      <c r="L27" s="33"/>
      <c r="M27" s="34"/>
      <c r="N27" s="34"/>
      <c r="O27" s="34"/>
      <c r="P27" s="34" t="str">
        <f aca="false">IF(OR($D27="",$M27=""),"",IF(IFERROR(INDEX(Settings!$C$11:$C$19,MATCH($L27,Settings!$B$11:$B$19,0)),"Yes")="No","",MAX($M27,$O27)+Settings!$C$6))</f>
        <v/>
      </c>
      <c r="Q27" s="36" t="str">
        <f aca="true">IF($D27="","",IF(IFERROR(INDEX(Settings!$C$11:$C$19,MATCH($L27,Settings!$B$11:$B$19,0)),"Yes")="No","",IF($M27="",IF($N27="","",$N27-TODAY()),IF($P27="","",$P27-TODAY()))))</f>
        <v/>
      </c>
      <c r="R27" s="37" t="str">
        <f aca="true">IF($D27="","",IF(IFERROR(INDEX(Settings!$C$11:$C$19,MATCH($L27,Settings!$B$11:$B$19,0)),"Yes")="No","CLOSED",IF($M27="",IF($N27="","ON TRACK",IF($N27&lt;TODAY(),"OVERDUE",IF($N27-TODAY()&lt;=Settings!$C$5,"DUE SOON","ON TRACK"))),IF($P27&lt;=TODAY(),"FOLLOW-UP DUE","ON TRACK"))))</f>
        <v/>
      </c>
      <c r="S27" s="35"/>
      <c r="T27" s="35"/>
      <c r="U27" s="38"/>
      <c r="V27" s="34"/>
      <c r="W27" s="35" t="str">
        <f aca="false">IF(OR($R27="OVERDUE",$R27="DUE SOON",$R27="FOLLOW-UP DUE"),MAX(W$3:W26)+1,"")</f>
        <v/>
      </c>
    </row>
    <row r="28" customFormat="false" ht="15" hidden="false" customHeight="false" outlineLevel="0" collapsed="false">
      <c r="A28" s="33" t="str">
        <f aca="false">IF($D28="","","JOB-"&amp;TEXT(ROW()-3,"000"))</f>
        <v/>
      </c>
      <c r="B28" s="34"/>
      <c r="C28" s="35"/>
      <c r="D28" s="35"/>
      <c r="E28" s="35"/>
      <c r="F28" s="35"/>
      <c r="G28" s="33"/>
      <c r="H28" s="35"/>
      <c r="I28" s="35"/>
      <c r="J28" s="35"/>
      <c r="K28" s="33"/>
      <c r="L28" s="33"/>
      <c r="M28" s="34"/>
      <c r="N28" s="34"/>
      <c r="O28" s="34"/>
      <c r="P28" s="34" t="str">
        <f aca="false">IF(OR($D28="",$M28=""),"",IF(IFERROR(INDEX(Settings!$C$11:$C$19,MATCH($L28,Settings!$B$11:$B$19,0)),"Yes")="No","",MAX($M28,$O28)+Settings!$C$6))</f>
        <v/>
      </c>
      <c r="Q28" s="36" t="str">
        <f aca="true">IF($D28="","",IF(IFERROR(INDEX(Settings!$C$11:$C$19,MATCH($L28,Settings!$B$11:$B$19,0)),"Yes")="No","",IF($M28="",IF($N28="","",$N28-TODAY()),IF($P28="","",$P28-TODAY()))))</f>
        <v/>
      </c>
      <c r="R28" s="37" t="str">
        <f aca="true">IF($D28="","",IF(IFERROR(INDEX(Settings!$C$11:$C$19,MATCH($L28,Settings!$B$11:$B$19,0)),"Yes")="No","CLOSED",IF($M28="",IF($N28="","ON TRACK",IF($N28&lt;TODAY(),"OVERDUE",IF($N28-TODAY()&lt;=Settings!$C$5,"DUE SOON","ON TRACK"))),IF($P28&lt;=TODAY(),"FOLLOW-UP DUE","ON TRACK"))))</f>
        <v/>
      </c>
      <c r="S28" s="35"/>
      <c r="T28" s="35"/>
      <c r="U28" s="38"/>
      <c r="V28" s="34"/>
      <c r="W28" s="35" t="str">
        <f aca="false">IF(OR($R28="OVERDUE",$R28="DUE SOON",$R28="FOLLOW-UP DUE"),MAX(W$3:W27)+1,"")</f>
        <v/>
      </c>
    </row>
    <row r="29" customFormat="false" ht="15" hidden="false" customHeight="false" outlineLevel="0" collapsed="false">
      <c r="A29" s="33" t="str">
        <f aca="false">IF($D29="","","JOB-"&amp;TEXT(ROW()-3,"000"))</f>
        <v/>
      </c>
      <c r="B29" s="34"/>
      <c r="C29" s="35"/>
      <c r="D29" s="35"/>
      <c r="E29" s="35"/>
      <c r="F29" s="35"/>
      <c r="G29" s="33"/>
      <c r="H29" s="35"/>
      <c r="I29" s="35"/>
      <c r="J29" s="35"/>
      <c r="K29" s="33"/>
      <c r="L29" s="33"/>
      <c r="M29" s="34"/>
      <c r="N29" s="34"/>
      <c r="O29" s="34"/>
      <c r="P29" s="34" t="str">
        <f aca="false">IF(OR($D29="",$M29=""),"",IF(IFERROR(INDEX(Settings!$C$11:$C$19,MATCH($L29,Settings!$B$11:$B$19,0)),"Yes")="No","",MAX($M29,$O29)+Settings!$C$6))</f>
        <v/>
      </c>
      <c r="Q29" s="36" t="str">
        <f aca="true">IF($D29="","",IF(IFERROR(INDEX(Settings!$C$11:$C$19,MATCH($L29,Settings!$B$11:$B$19,0)),"Yes")="No","",IF($M29="",IF($N29="","",$N29-TODAY()),IF($P29="","",$P29-TODAY()))))</f>
        <v/>
      </c>
      <c r="R29" s="37" t="str">
        <f aca="true">IF($D29="","",IF(IFERROR(INDEX(Settings!$C$11:$C$19,MATCH($L29,Settings!$B$11:$B$19,0)),"Yes")="No","CLOSED",IF($M29="",IF($N29="","ON TRACK",IF($N29&lt;TODAY(),"OVERDUE",IF($N29-TODAY()&lt;=Settings!$C$5,"DUE SOON","ON TRACK"))),IF($P29&lt;=TODAY(),"FOLLOW-UP DUE","ON TRACK"))))</f>
        <v/>
      </c>
      <c r="S29" s="35"/>
      <c r="T29" s="35"/>
      <c r="U29" s="38"/>
      <c r="V29" s="34"/>
      <c r="W29" s="35" t="str">
        <f aca="false">IF(OR($R29="OVERDUE",$R29="DUE SOON",$R29="FOLLOW-UP DUE"),MAX(W$3:W28)+1,"")</f>
        <v/>
      </c>
    </row>
    <row r="30" customFormat="false" ht="15" hidden="false" customHeight="false" outlineLevel="0" collapsed="false">
      <c r="A30" s="33" t="str">
        <f aca="false">IF($D30="","","JOB-"&amp;TEXT(ROW()-3,"000"))</f>
        <v/>
      </c>
      <c r="B30" s="34"/>
      <c r="C30" s="35"/>
      <c r="D30" s="35"/>
      <c r="E30" s="35"/>
      <c r="F30" s="35"/>
      <c r="G30" s="33"/>
      <c r="H30" s="35"/>
      <c r="I30" s="35"/>
      <c r="J30" s="35"/>
      <c r="K30" s="33"/>
      <c r="L30" s="33"/>
      <c r="M30" s="34"/>
      <c r="N30" s="34"/>
      <c r="O30" s="34"/>
      <c r="P30" s="34" t="str">
        <f aca="false">IF(OR($D30="",$M30=""),"",IF(IFERROR(INDEX(Settings!$C$11:$C$19,MATCH($L30,Settings!$B$11:$B$19,0)),"Yes")="No","",MAX($M30,$O30)+Settings!$C$6))</f>
        <v/>
      </c>
      <c r="Q30" s="36" t="str">
        <f aca="true">IF($D30="","",IF(IFERROR(INDEX(Settings!$C$11:$C$19,MATCH($L30,Settings!$B$11:$B$19,0)),"Yes")="No","",IF($M30="",IF($N30="","",$N30-TODAY()),IF($P30="","",$P30-TODAY()))))</f>
        <v/>
      </c>
      <c r="R30" s="37" t="str">
        <f aca="true">IF($D30="","",IF(IFERROR(INDEX(Settings!$C$11:$C$19,MATCH($L30,Settings!$B$11:$B$19,0)),"Yes")="No","CLOSED",IF($M30="",IF($N30="","ON TRACK",IF($N30&lt;TODAY(),"OVERDUE",IF($N30-TODAY()&lt;=Settings!$C$5,"DUE SOON","ON TRACK"))),IF($P30&lt;=TODAY(),"FOLLOW-UP DUE","ON TRACK"))))</f>
        <v/>
      </c>
      <c r="S30" s="35"/>
      <c r="T30" s="35"/>
      <c r="U30" s="38"/>
      <c r="V30" s="34"/>
      <c r="W30" s="35" t="str">
        <f aca="false">IF(OR($R30="OVERDUE",$R30="DUE SOON",$R30="FOLLOW-UP DUE"),MAX(W$3:W29)+1,"")</f>
        <v/>
      </c>
    </row>
    <row r="31" customFormat="false" ht="15" hidden="false" customHeight="false" outlineLevel="0" collapsed="false">
      <c r="A31" s="33" t="str">
        <f aca="false">IF($D31="","","JOB-"&amp;TEXT(ROW()-3,"000"))</f>
        <v/>
      </c>
      <c r="B31" s="34"/>
      <c r="C31" s="35"/>
      <c r="D31" s="35"/>
      <c r="E31" s="35"/>
      <c r="F31" s="35"/>
      <c r="G31" s="33"/>
      <c r="H31" s="35"/>
      <c r="I31" s="35"/>
      <c r="J31" s="35"/>
      <c r="K31" s="33"/>
      <c r="L31" s="33"/>
      <c r="M31" s="34"/>
      <c r="N31" s="34"/>
      <c r="O31" s="34"/>
      <c r="P31" s="34" t="str">
        <f aca="false">IF(OR($D31="",$M31=""),"",IF(IFERROR(INDEX(Settings!$C$11:$C$19,MATCH($L31,Settings!$B$11:$B$19,0)),"Yes")="No","",MAX($M31,$O31)+Settings!$C$6))</f>
        <v/>
      </c>
      <c r="Q31" s="36" t="str">
        <f aca="true">IF($D31="","",IF(IFERROR(INDEX(Settings!$C$11:$C$19,MATCH($L31,Settings!$B$11:$B$19,0)),"Yes")="No","",IF($M31="",IF($N31="","",$N31-TODAY()),IF($P31="","",$P31-TODAY()))))</f>
        <v/>
      </c>
      <c r="R31" s="37" t="str">
        <f aca="true">IF($D31="","",IF(IFERROR(INDEX(Settings!$C$11:$C$19,MATCH($L31,Settings!$B$11:$B$19,0)),"Yes")="No","CLOSED",IF($M31="",IF($N31="","ON TRACK",IF($N31&lt;TODAY(),"OVERDUE",IF($N31-TODAY()&lt;=Settings!$C$5,"DUE SOON","ON TRACK"))),IF($P31&lt;=TODAY(),"FOLLOW-UP DUE","ON TRACK"))))</f>
        <v/>
      </c>
      <c r="S31" s="35"/>
      <c r="T31" s="35"/>
      <c r="U31" s="38"/>
      <c r="V31" s="34"/>
      <c r="W31" s="35" t="str">
        <f aca="false">IF(OR($R31="OVERDUE",$R31="DUE SOON",$R31="FOLLOW-UP DUE"),MAX(W$3:W30)+1,"")</f>
        <v/>
      </c>
    </row>
    <row r="32" customFormat="false" ht="15" hidden="false" customHeight="false" outlineLevel="0" collapsed="false">
      <c r="A32" s="33" t="str">
        <f aca="false">IF($D32="","","JOB-"&amp;TEXT(ROW()-3,"000"))</f>
        <v/>
      </c>
      <c r="B32" s="34"/>
      <c r="C32" s="35"/>
      <c r="D32" s="35"/>
      <c r="E32" s="35"/>
      <c r="F32" s="35"/>
      <c r="G32" s="33"/>
      <c r="H32" s="35"/>
      <c r="I32" s="35"/>
      <c r="J32" s="35"/>
      <c r="K32" s="33"/>
      <c r="L32" s="33"/>
      <c r="M32" s="34"/>
      <c r="N32" s="34"/>
      <c r="O32" s="34"/>
      <c r="P32" s="34" t="str">
        <f aca="false">IF(OR($D32="",$M32=""),"",IF(IFERROR(INDEX(Settings!$C$11:$C$19,MATCH($L32,Settings!$B$11:$B$19,0)),"Yes")="No","",MAX($M32,$O32)+Settings!$C$6))</f>
        <v/>
      </c>
      <c r="Q32" s="36" t="str">
        <f aca="true">IF($D32="","",IF(IFERROR(INDEX(Settings!$C$11:$C$19,MATCH($L32,Settings!$B$11:$B$19,0)),"Yes")="No","",IF($M32="",IF($N32="","",$N32-TODAY()),IF($P32="","",$P32-TODAY()))))</f>
        <v/>
      </c>
      <c r="R32" s="37" t="str">
        <f aca="true">IF($D32="","",IF(IFERROR(INDEX(Settings!$C$11:$C$19,MATCH($L32,Settings!$B$11:$B$19,0)),"Yes")="No","CLOSED",IF($M32="",IF($N32="","ON TRACK",IF($N32&lt;TODAY(),"OVERDUE",IF($N32-TODAY()&lt;=Settings!$C$5,"DUE SOON","ON TRACK"))),IF($P32&lt;=TODAY(),"FOLLOW-UP DUE","ON TRACK"))))</f>
        <v/>
      </c>
      <c r="S32" s="35"/>
      <c r="T32" s="35"/>
      <c r="U32" s="38"/>
      <c r="V32" s="34"/>
      <c r="W32" s="35" t="str">
        <f aca="false">IF(OR($R32="OVERDUE",$R32="DUE SOON",$R32="FOLLOW-UP DUE"),MAX(W$3:W31)+1,"")</f>
        <v/>
      </c>
    </row>
    <row r="33" customFormat="false" ht="15" hidden="false" customHeight="false" outlineLevel="0" collapsed="false">
      <c r="A33" s="33" t="str">
        <f aca="false">IF($D33="","","JOB-"&amp;TEXT(ROW()-3,"000"))</f>
        <v/>
      </c>
      <c r="B33" s="34"/>
      <c r="C33" s="35"/>
      <c r="D33" s="35"/>
      <c r="E33" s="35"/>
      <c r="F33" s="35"/>
      <c r="G33" s="33"/>
      <c r="H33" s="35"/>
      <c r="I33" s="35"/>
      <c r="J33" s="35"/>
      <c r="K33" s="33"/>
      <c r="L33" s="33"/>
      <c r="M33" s="34"/>
      <c r="N33" s="34"/>
      <c r="O33" s="34"/>
      <c r="P33" s="34" t="str">
        <f aca="false">IF(OR($D33="",$M33=""),"",IF(IFERROR(INDEX(Settings!$C$11:$C$19,MATCH($L33,Settings!$B$11:$B$19,0)),"Yes")="No","",MAX($M33,$O33)+Settings!$C$6))</f>
        <v/>
      </c>
      <c r="Q33" s="36" t="str">
        <f aca="true">IF($D33="","",IF(IFERROR(INDEX(Settings!$C$11:$C$19,MATCH($L33,Settings!$B$11:$B$19,0)),"Yes")="No","",IF($M33="",IF($N33="","",$N33-TODAY()),IF($P33="","",$P33-TODAY()))))</f>
        <v/>
      </c>
      <c r="R33" s="37" t="str">
        <f aca="true">IF($D33="","",IF(IFERROR(INDEX(Settings!$C$11:$C$19,MATCH($L33,Settings!$B$11:$B$19,0)),"Yes")="No","CLOSED",IF($M33="",IF($N33="","ON TRACK",IF($N33&lt;TODAY(),"OVERDUE",IF($N33-TODAY()&lt;=Settings!$C$5,"DUE SOON","ON TRACK"))),IF($P33&lt;=TODAY(),"FOLLOW-UP DUE","ON TRACK"))))</f>
        <v/>
      </c>
      <c r="S33" s="35"/>
      <c r="T33" s="35"/>
      <c r="U33" s="38"/>
      <c r="V33" s="34"/>
      <c r="W33" s="35" t="str">
        <f aca="false">IF(OR($R33="OVERDUE",$R33="DUE SOON",$R33="FOLLOW-UP DUE"),MAX(W$3:W32)+1,"")</f>
        <v/>
      </c>
    </row>
    <row r="34" customFormat="false" ht="15" hidden="false" customHeight="false" outlineLevel="0" collapsed="false">
      <c r="A34" s="33" t="str">
        <f aca="false">IF($D34="","","JOB-"&amp;TEXT(ROW()-3,"000"))</f>
        <v/>
      </c>
      <c r="B34" s="34"/>
      <c r="C34" s="35"/>
      <c r="D34" s="35"/>
      <c r="E34" s="35"/>
      <c r="F34" s="35"/>
      <c r="G34" s="33"/>
      <c r="H34" s="35"/>
      <c r="I34" s="35"/>
      <c r="J34" s="35"/>
      <c r="K34" s="33"/>
      <c r="L34" s="33"/>
      <c r="M34" s="34"/>
      <c r="N34" s="34"/>
      <c r="O34" s="34"/>
      <c r="P34" s="34" t="str">
        <f aca="false">IF(OR($D34="",$M34=""),"",IF(IFERROR(INDEX(Settings!$C$11:$C$19,MATCH($L34,Settings!$B$11:$B$19,0)),"Yes")="No","",MAX($M34,$O34)+Settings!$C$6))</f>
        <v/>
      </c>
      <c r="Q34" s="36" t="str">
        <f aca="true">IF($D34="","",IF(IFERROR(INDEX(Settings!$C$11:$C$19,MATCH($L34,Settings!$B$11:$B$19,0)),"Yes")="No","",IF($M34="",IF($N34="","",$N34-TODAY()),IF($P34="","",$P34-TODAY()))))</f>
        <v/>
      </c>
      <c r="R34" s="37" t="str">
        <f aca="true">IF($D34="","",IF(IFERROR(INDEX(Settings!$C$11:$C$19,MATCH($L34,Settings!$B$11:$B$19,0)),"Yes")="No","CLOSED",IF($M34="",IF($N34="","ON TRACK",IF($N34&lt;TODAY(),"OVERDUE",IF($N34-TODAY()&lt;=Settings!$C$5,"DUE SOON","ON TRACK"))),IF($P34&lt;=TODAY(),"FOLLOW-UP DUE","ON TRACK"))))</f>
        <v/>
      </c>
      <c r="S34" s="35"/>
      <c r="T34" s="35"/>
      <c r="U34" s="38"/>
      <c r="V34" s="34"/>
      <c r="W34" s="35" t="str">
        <f aca="false">IF(OR($R34="OVERDUE",$R34="DUE SOON",$R34="FOLLOW-UP DUE"),MAX(W$3:W33)+1,"")</f>
        <v/>
      </c>
    </row>
    <row r="35" customFormat="false" ht="15" hidden="false" customHeight="false" outlineLevel="0" collapsed="false">
      <c r="A35" s="33" t="str">
        <f aca="false">IF($D35="","","JOB-"&amp;TEXT(ROW()-3,"000"))</f>
        <v/>
      </c>
      <c r="B35" s="34"/>
      <c r="C35" s="35"/>
      <c r="D35" s="35"/>
      <c r="E35" s="35"/>
      <c r="F35" s="35"/>
      <c r="G35" s="33"/>
      <c r="H35" s="35"/>
      <c r="I35" s="35"/>
      <c r="J35" s="35"/>
      <c r="K35" s="33"/>
      <c r="L35" s="33"/>
      <c r="M35" s="34"/>
      <c r="N35" s="34"/>
      <c r="O35" s="34"/>
      <c r="P35" s="34" t="str">
        <f aca="false">IF(OR($D35="",$M35=""),"",IF(IFERROR(INDEX(Settings!$C$11:$C$19,MATCH($L35,Settings!$B$11:$B$19,0)),"Yes")="No","",MAX($M35,$O35)+Settings!$C$6))</f>
        <v/>
      </c>
      <c r="Q35" s="36" t="str">
        <f aca="true">IF($D35="","",IF(IFERROR(INDEX(Settings!$C$11:$C$19,MATCH($L35,Settings!$B$11:$B$19,0)),"Yes")="No","",IF($M35="",IF($N35="","",$N35-TODAY()),IF($P35="","",$P35-TODAY()))))</f>
        <v/>
      </c>
      <c r="R35" s="37" t="str">
        <f aca="true">IF($D35="","",IF(IFERROR(INDEX(Settings!$C$11:$C$19,MATCH($L35,Settings!$B$11:$B$19,0)),"Yes")="No","CLOSED",IF($M35="",IF($N35="","ON TRACK",IF($N35&lt;TODAY(),"OVERDUE",IF($N35-TODAY()&lt;=Settings!$C$5,"DUE SOON","ON TRACK"))),IF($P35&lt;=TODAY(),"FOLLOW-UP DUE","ON TRACK"))))</f>
        <v/>
      </c>
      <c r="S35" s="35"/>
      <c r="T35" s="35"/>
      <c r="U35" s="38"/>
      <c r="V35" s="34"/>
      <c r="W35" s="35" t="str">
        <f aca="false">IF(OR($R35="OVERDUE",$R35="DUE SOON",$R35="FOLLOW-UP DUE"),MAX(W$3:W34)+1,"")</f>
        <v/>
      </c>
    </row>
    <row r="36" customFormat="false" ht="15" hidden="false" customHeight="false" outlineLevel="0" collapsed="false">
      <c r="A36" s="33" t="str">
        <f aca="false">IF($D36="","","JOB-"&amp;TEXT(ROW()-3,"000"))</f>
        <v/>
      </c>
      <c r="B36" s="34"/>
      <c r="C36" s="35"/>
      <c r="D36" s="35"/>
      <c r="E36" s="35"/>
      <c r="F36" s="35"/>
      <c r="G36" s="33"/>
      <c r="H36" s="35"/>
      <c r="I36" s="35"/>
      <c r="J36" s="35"/>
      <c r="K36" s="33"/>
      <c r="L36" s="33"/>
      <c r="M36" s="34"/>
      <c r="N36" s="34"/>
      <c r="O36" s="34"/>
      <c r="P36" s="34" t="str">
        <f aca="false">IF(OR($D36="",$M36=""),"",IF(IFERROR(INDEX(Settings!$C$11:$C$19,MATCH($L36,Settings!$B$11:$B$19,0)),"Yes")="No","",MAX($M36,$O36)+Settings!$C$6))</f>
        <v/>
      </c>
      <c r="Q36" s="36" t="str">
        <f aca="true">IF($D36="","",IF(IFERROR(INDEX(Settings!$C$11:$C$19,MATCH($L36,Settings!$B$11:$B$19,0)),"Yes")="No","",IF($M36="",IF($N36="","",$N36-TODAY()),IF($P36="","",$P36-TODAY()))))</f>
        <v/>
      </c>
      <c r="R36" s="37" t="str">
        <f aca="true">IF($D36="","",IF(IFERROR(INDEX(Settings!$C$11:$C$19,MATCH($L36,Settings!$B$11:$B$19,0)),"Yes")="No","CLOSED",IF($M36="",IF($N36="","ON TRACK",IF($N36&lt;TODAY(),"OVERDUE",IF($N36-TODAY()&lt;=Settings!$C$5,"DUE SOON","ON TRACK"))),IF($P36&lt;=TODAY(),"FOLLOW-UP DUE","ON TRACK"))))</f>
        <v/>
      </c>
      <c r="S36" s="35"/>
      <c r="T36" s="35"/>
      <c r="U36" s="38"/>
      <c r="V36" s="34"/>
      <c r="W36" s="35" t="str">
        <f aca="false">IF(OR($R36="OVERDUE",$R36="DUE SOON",$R36="FOLLOW-UP DUE"),MAX(W$3:W35)+1,"")</f>
        <v/>
      </c>
    </row>
    <row r="37" customFormat="false" ht="15" hidden="false" customHeight="false" outlineLevel="0" collapsed="false">
      <c r="A37" s="33" t="str">
        <f aca="false">IF($D37="","","JOB-"&amp;TEXT(ROW()-3,"000"))</f>
        <v/>
      </c>
      <c r="B37" s="34"/>
      <c r="C37" s="35"/>
      <c r="D37" s="35"/>
      <c r="E37" s="35"/>
      <c r="F37" s="35"/>
      <c r="G37" s="33"/>
      <c r="H37" s="35"/>
      <c r="I37" s="35"/>
      <c r="J37" s="35"/>
      <c r="K37" s="33"/>
      <c r="L37" s="33"/>
      <c r="M37" s="34"/>
      <c r="N37" s="34"/>
      <c r="O37" s="34"/>
      <c r="P37" s="34" t="str">
        <f aca="false">IF(OR($D37="",$M37=""),"",IF(IFERROR(INDEX(Settings!$C$11:$C$19,MATCH($L37,Settings!$B$11:$B$19,0)),"Yes")="No","",MAX($M37,$O37)+Settings!$C$6))</f>
        <v/>
      </c>
      <c r="Q37" s="36" t="str">
        <f aca="true">IF($D37="","",IF(IFERROR(INDEX(Settings!$C$11:$C$19,MATCH($L37,Settings!$B$11:$B$19,0)),"Yes")="No","",IF($M37="",IF($N37="","",$N37-TODAY()),IF($P37="","",$P37-TODAY()))))</f>
        <v/>
      </c>
      <c r="R37" s="37" t="str">
        <f aca="true">IF($D37="","",IF(IFERROR(INDEX(Settings!$C$11:$C$19,MATCH($L37,Settings!$B$11:$B$19,0)),"Yes")="No","CLOSED",IF($M37="",IF($N37="","ON TRACK",IF($N37&lt;TODAY(),"OVERDUE",IF($N37-TODAY()&lt;=Settings!$C$5,"DUE SOON","ON TRACK"))),IF($P37&lt;=TODAY(),"FOLLOW-UP DUE","ON TRACK"))))</f>
        <v/>
      </c>
      <c r="S37" s="35"/>
      <c r="T37" s="35"/>
      <c r="U37" s="38"/>
      <c r="V37" s="34"/>
      <c r="W37" s="35" t="str">
        <f aca="false">IF(OR($R37="OVERDUE",$R37="DUE SOON",$R37="FOLLOW-UP DUE"),MAX(W$3:W36)+1,"")</f>
        <v/>
      </c>
    </row>
    <row r="38" customFormat="false" ht="15" hidden="false" customHeight="false" outlineLevel="0" collapsed="false">
      <c r="A38" s="33" t="str">
        <f aca="false">IF($D38="","","JOB-"&amp;TEXT(ROW()-3,"000"))</f>
        <v/>
      </c>
      <c r="B38" s="34"/>
      <c r="C38" s="35"/>
      <c r="D38" s="35"/>
      <c r="E38" s="35"/>
      <c r="F38" s="35"/>
      <c r="G38" s="33"/>
      <c r="H38" s="35"/>
      <c r="I38" s="35"/>
      <c r="J38" s="35"/>
      <c r="K38" s="33"/>
      <c r="L38" s="33"/>
      <c r="M38" s="34"/>
      <c r="N38" s="34"/>
      <c r="O38" s="34"/>
      <c r="P38" s="34" t="str">
        <f aca="false">IF(OR($D38="",$M38=""),"",IF(IFERROR(INDEX(Settings!$C$11:$C$19,MATCH($L38,Settings!$B$11:$B$19,0)),"Yes")="No","",MAX($M38,$O38)+Settings!$C$6))</f>
        <v/>
      </c>
      <c r="Q38" s="36" t="str">
        <f aca="true">IF($D38="","",IF(IFERROR(INDEX(Settings!$C$11:$C$19,MATCH($L38,Settings!$B$11:$B$19,0)),"Yes")="No","",IF($M38="",IF($N38="","",$N38-TODAY()),IF($P38="","",$P38-TODAY()))))</f>
        <v/>
      </c>
      <c r="R38" s="37" t="str">
        <f aca="true">IF($D38="","",IF(IFERROR(INDEX(Settings!$C$11:$C$19,MATCH($L38,Settings!$B$11:$B$19,0)),"Yes")="No","CLOSED",IF($M38="",IF($N38="","ON TRACK",IF($N38&lt;TODAY(),"OVERDUE",IF($N38-TODAY()&lt;=Settings!$C$5,"DUE SOON","ON TRACK"))),IF($P38&lt;=TODAY(),"FOLLOW-UP DUE","ON TRACK"))))</f>
        <v/>
      </c>
      <c r="S38" s="35"/>
      <c r="T38" s="35"/>
      <c r="U38" s="38"/>
      <c r="V38" s="34"/>
      <c r="W38" s="35" t="str">
        <f aca="false">IF(OR($R38="OVERDUE",$R38="DUE SOON",$R38="FOLLOW-UP DUE"),MAX(W$3:W37)+1,"")</f>
        <v/>
      </c>
    </row>
    <row r="39" customFormat="false" ht="15" hidden="false" customHeight="false" outlineLevel="0" collapsed="false">
      <c r="A39" s="33" t="str">
        <f aca="false">IF($D39="","","JOB-"&amp;TEXT(ROW()-3,"000"))</f>
        <v/>
      </c>
      <c r="B39" s="34"/>
      <c r="C39" s="35"/>
      <c r="D39" s="35"/>
      <c r="E39" s="35"/>
      <c r="F39" s="35"/>
      <c r="G39" s="33"/>
      <c r="H39" s="35"/>
      <c r="I39" s="35"/>
      <c r="J39" s="35"/>
      <c r="K39" s="33"/>
      <c r="L39" s="33"/>
      <c r="M39" s="34"/>
      <c r="N39" s="34"/>
      <c r="O39" s="34"/>
      <c r="P39" s="34" t="str">
        <f aca="false">IF(OR($D39="",$M39=""),"",IF(IFERROR(INDEX(Settings!$C$11:$C$19,MATCH($L39,Settings!$B$11:$B$19,0)),"Yes")="No","",MAX($M39,$O39)+Settings!$C$6))</f>
        <v/>
      </c>
      <c r="Q39" s="36" t="str">
        <f aca="true">IF($D39="","",IF(IFERROR(INDEX(Settings!$C$11:$C$19,MATCH($L39,Settings!$B$11:$B$19,0)),"Yes")="No","",IF($M39="",IF($N39="","",$N39-TODAY()),IF($P39="","",$P39-TODAY()))))</f>
        <v/>
      </c>
      <c r="R39" s="37" t="str">
        <f aca="true">IF($D39="","",IF(IFERROR(INDEX(Settings!$C$11:$C$19,MATCH($L39,Settings!$B$11:$B$19,0)),"Yes")="No","CLOSED",IF($M39="",IF($N39="","ON TRACK",IF($N39&lt;TODAY(),"OVERDUE",IF($N39-TODAY()&lt;=Settings!$C$5,"DUE SOON","ON TRACK"))),IF($P39&lt;=TODAY(),"FOLLOW-UP DUE","ON TRACK"))))</f>
        <v/>
      </c>
      <c r="S39" s="35"/>
      <c r="T39" s="35"/>
      <c r="U39" s="38"/>
      <c r="V39" s="34"/>
      <c r="W39" s="35" t="str">
        <f aca="false">IF(OR($R39="OVERDUE",$R39="DUE SOON",$R39="FOLLOW-UP DUE"),MAX(W$3:W38)+1,"")</f>
        <v/>
      </c>
    </row>
    <row r="40" customFormat="false" ht="15" hidden="false" customHeight="false" outlineLevel="0" collapsed="false">
      <c r="A40" s="33" t="str">
        <f aca="false">IF($D40="","","JOB-"&amp;TEXT(ROW()-3,"000"))</f>
        <v/>
      </c>
      <c r="B40" s="34"/>
      <c r="C40" s="35"/>
      <c r="D40" s="35"/>
      <c r="E40" s="35"/>
      <c r="F40" s="35"/>
      <c r="G40" s="33"/>
      <c r="H40" s="35"/>
      <c r="I40" s="35"/>
      <c r="J40" s="35"/>
      <c r="K40" s="33"/>
      <c r="L40" s="33"/>
      <c r="M40" s="34"/>
      <c r="N40" s="34"/>
      <c r="O40" s="34"/>
      <c r="P40" s="34" t="str">
        <f aca="false">IF(OR($D40="",$M40=""),"",IF(IFERROR(INDEX(Settings!$C$11:$C$19,MATCH($L40,Settings!$B$11:$B$19,0)),"Yes")="No","",MAX($M40,$O40)+Settings!$C$6))</f>
        <v/>
      </c>
      <c r="Q40" s="36" t="str">
        <f aca="true">IF($D40="","",IF(IFERROR(INDEX(Settings!$C$11:$C$19,MATCH($L40,Settings!$B$11:$B$19,0)),"Yes")="No","",IF($M40="",IF($N40="","",$N40-TODAY()),IF($P40="","",$P40-TODAY()))))</f>
        <v/>
      </c>
      <c r="R40" s="37" t="str">
        <f aca="true">IF($D40="","",IF(IFERROR(INDEX(Settings!$C$11:$C$19,MATCH($L40,Settings!$B$11:$B$19,0)),"Yes")="No","CLOSED",IF($M40="",IF($N40="","ON TRACK",IF($N40&lt;TODAY(),"OVERDUE",IF($N40-TODAY()&lt;=Settings!$C$5,"DUE SOON","ON TRACK"))),IF($P40&lt;=TODAY(),"FOLLOW-UP DUE","ON TRACK"))))</f>
        <v/>
      </c>
      <c r="S40" s="35"/>
      <c r="T40" s="35"/>
      <c r="U40" s="38"/>
      <c r="V40" s="34"/>
      <c r="W40" s="35" t="str">
        <f aca="false">IF(OR($R40="OVERDUE",$R40="DUE SOON",$R40="FOLLOW-UP DUE"),MAX(W$3:W39)+1,"")</f>
        <v/>
      </c>
    </row>
    <row r="41" customFormat="false" ht="15" hidden="false" customHeight="false" outlineLevel="0" collapsed="false">
      <c r="A41" s="33" t="str">
        <f aca="false">IF($D41="","","JOB-"&amp;TEXT(ROW()-3,"000"))</f>
        <v/>
      </c>
      <c r="B41" s="34"/>
      <c r="C41" s="35"/>
      <c r="D41" s="35"/>
      <c r="E41" s="35"/>
      <c r="F41" s="35"/>
      <c r="G41" s="33"/>
      <c r="H41" s="35"/>
      <c r="I41" s="35"/>
      <c r="J41" s="35"/>
      <c r="K41" s="33"/>
      <c r="L41" s="33"/>
      <c r="M41" s="34"/>
      <c r="N41" s="34"/>
      <c r="O41" s="34"/>
      <c r="P41" s="34" t="str">
        <f aca="false">IF(OR($D41="",$M41=""),"",IF(IFERROR(INDEX(Settings!$C$11:$C$19,MATCH($L41,Settings!$B$11:$B$19,0)),"Yes")="No","",MAX($M41,$O41)+Settings!$C$6))</f>
        <v/>
      </c>
      <c r="Q41" s="36" t="str">
        <f aca="true">IF($D41="","",IF(IFERROR(INDEX(Settings!$C$11:$C$19,MATCH($L41,Settings!$B$11:$B$19,0)),"Yes")="No","",IF($M41="",IF($N41="","",$N41-TODAY()),IF($P41="","",$P41-TODAY()))))</f>
        <v/>
      </c>
      <c r="R41" s="37" t="str">
        <f aca="true">IF($D41="","",IF(IFERROR(INDEX(Settings!$C$11:$C$19,MATCH($L41,Settings!$B$11:$B$19,0)),"Yes")="No","CLOSED",IF($M41="",IF($N41="","ON TRACK",IF($N41&lt;TODAY(),"OVERDUE",IF($N41-TODAY()&lt;=Settings!$C$5,"DUE SOON","ON TRACK"))),IF($P41&lt;=TODAY(),"FOLLOW-UP DUE","ON TRACK"))))</f>
        <v/>
      </c>
      <c r="S41" s="35"/>
      <c r="T41" s="35"/>
      <c r="U41" s="38"/>
      <c r="V41" s="34"/>
      <c r="W41" s="35" t="str">
        <f aca="false">IF(OR($R41="OVERDUE",$R41="DUE SOON",$R41="FOLLOW-UP DUE"),MAX(W$3:W40)+1,"")</f>
        <v/>
      </c>
    </row>
    <row r="42" customFormat="false" ht="15" hidden="false" customHeight="false" outlineLevel="0" collapsed="false">
      <c r="A42" s="33" t="str">
        <f aca="false">IF($D42="","","JOB-"&amp;TEXT(ROW()-3,"000"))</f>
        <v/>
      </c>
      <c r="B42" s="34"/>
      <c r="C42" s="35"/>
      <c r="D42" s="35"/>
      <c r="E42" s="35"/>
      <c r="F42" s="35"/>
      <c r="G42" s="33"/>
      <c r="H42" s="35"/>
      <c r="I42" s="35"/>
      <c r="J42" s="35"/>
      <c r="K42" s="33"/>
      <c r="L42" s="33"/>
      <c r="M42" s="34"/>
      <c r="N42" s="34"/>
      <c r="O42" s="34"/>
      <c r="P42" s="34" t="str">
        <f aca="false">IF(OR($D42="",$M42=""),"",IF(IFERROR(INDEX(Settings!$C$11:$C$19,MATCH($L42,Settings!$B$11:$B$19,0)),"Yes")="No","",MAX($M42,$O42)+Settings!$C$6))</f>
        <v/>
      </c>
      <c r="Q42" s="36" t="str">
        <f aca="true">IF($D42="","",IF(IFERROR(INDEX(Settings!$C$11:$C$19,MATCH($L42,Settings!$B$11:$B$19,0)),"Yes")="No","",IF($M42="",IF($N42="","",$N42-TODAY()),IF($P42="","",$P42-TODAY()))))</f>
        <v/>
      </c>
      <c r="R42" s="37" t="str">
        <f aca="true">IF($D42="","",IF(IFERROR(INDEX(Settings!$C$11:$C$19,MATCH($L42,Settings!$B$11:$B$19,0)),"Yes")="No","CLOSED",IF($M42="",IF($N42="","ON TRACK",IF($N42&lt;TODAY(),"OVERDUE",IF($N42-TODAY()&lt;=Settings!$C$5,"DUE SOON","ON TRACK"))),IF($P42&lt;=TODAY(),"FOLLOW-UP DUE","ON TRACK"))))</f>
        <v/>
      </c>
      <c r="S42" s="35"/>
      <c r="T42" s="35"/>
      <c r="U42" s="38"/>
      <c r="V42" s="34"/>
      <c r="W42" s="35" t="str">
        <f aca="false">IF(OR($R42="OVERDUE",$R42="DUE SOON",$R42="FOLLOW-UP DUE"),MAX(W$3:W41)+1,"")</f>
        <v/>
      </c>
    </row>
    <row r="43" customFormat="false" ht="15" hidden="false" customHeight="false" outlineLevel="0" collapsed="false">
      <c r="A43" s="33" t="str">
        <f aca="false">IF($D43="","","JOB-"&amp;TEXT(ROW()-3,"000"))</f>
        <v/>
      </c>
      <c r="B43" s="34"/>
      <c r="C43" s="35"/>
      <c r="D43" s="35"/>
      <c r="E43" s="35"/>
      <c r="F43" s="35"/>
      <c r="G43" s="33"/>
      <c r="H43" s="35"/>
      <c r="I43" s="35"/>
      <c r="J43" s="35"/>
      <c r="K43" s="33"/>
      <c r="L43" s="33"/>
      <c r="M43" s="34"/>
      <c r="N43" s="34"/>
      <c r="O43" s="34"/>
      <c r="P43" s="34" t="str">
        <f aca="false">IF(OR($D43="",$M43=""),"",IF(IFERROR(INDEX(Settings!$C$11:$C$19,MATCH($L43,Settings!$B$11:$B$19,0)),"Yes")="No","",MAX($M43,$O43)+Settings!$C$6))</f>
        <v/>
      </c>
      <c r="Q43" s="36" t="str">
        <f aca="true">IF($D43="","",IF(IFERROR(INDEX(Settings!$C$11:$C$19,MATCH($L43,Settings!$B$11:$B$19,0)),"Yes")="No","",IF($M43="",IF($N43="","",$N43-TODAY()),IF($P43="","",$P43-TODAY()))))</f>
        <v/>
      </c>
      <c r="R43" s="37" t="str">
        <f aca="true">IF($D43="","",IF(IFERROR(INDEX(Settings!$C$11:$C$19,MATCH($L43,Settings!$B$11:$B$19,0)),"Yes")="No","CLOSED",IF($M43="",IF($N43="","ON TRACK",IF($N43&lt;TODAY(),"OVERDUE",IF($N43-TODAY()&lt;=Settings!$C$5,"DUE SOON","ON TRACK"))),IF($P43&lt;=TODAY(),"FOLLOW-UP DUE","ON TRACK"))))</f>
        <v/>
      </c>
      <c r="S43" s="35"/>
      <c r="T43" s="35"/>
      <c r="U43" s="38"/>
      <c r="V43" s="34"/>
      <c r="W43" s="35" t="str">
        <f aca="false">IF(OR($R43="OVERDUE",$R43="DUE SOON",$R43="FOLLOW-UP DUE"),MAX(W$3:W42)+1,"")</f>
        <v/>
      </c>
    </row>
    <row r="44" customFormat="false" ht="15" hidden="false" customHeight="false" outlineLevel="0" collapsed="false">
      <c r="A44" s="33" t="str">
        <f aca="false">IF($D44="","","JOB-"&amp;TEXT(ROW()-3,"000"))</f>
        <v/>
      </c>
      <c r="B44" s="34"/>
      <c r="C44" s="35"/>
      <c r="D44" s="35"/>
      <c r="E44" s="35"/>
      <c r="F44" s="35"/>
      <c r="G44" s="33"/>
      <c r="H44" s="35"/>
      <c r="I44" s="35"/>
      <c r="J44" s="35"/>
      <c r="K44" s="33"/>
      <c r="L44" s="33"/>
      <c r="M44" s="34"/>
      <c r="N44" s="34"/>
      <c r="O44" s="34"/>
      <c r="P44" s="34" t="str">
        <f aca="false">IF(OR($D44="",$M44=""),"",IF(IFERROR(INDEX(Settings!$C$11:$C$19,MATCH($L44,Settings!$B$11:$B$19,0)),"Yes")="No","",MAX($M44,$O44)+Settings!$C$6))</f>
        <v/>
      </c>
      <c r="Q44" s="36" t="str">
        <f aca="true">IF($D44="","",IF(IFERROR(INDEX(Settings!$C$11:$C$19,MATCH($L44,Settings!$B$11:$B$19,0)),"Yes")="No","",IF($M44="",IF($N44="","",$N44-TODAY()),IF($P44="","",$P44-TODAY()))))</f>
        <v/>
      </c>
      <c r="R44" s="37" t="str">
        <f aca="true">IF($D44="","",IF(IFERROR(INDEX(Settings!$C$11:$C$19,MATCH($L44,Settings!$B$11:$B$19,0)),"Yes")="No","CLOSED",IF($M44="",IF($N44="","ON TRACK",IF($N44&lt;TODAY(),"OVERDUE",IF($N44-TODAY()&lt;=Settings!$C$5,"DUE SOON","ON TRACK"))),IF($P44&lt;=TODAY(),"FOLLOW-UP DUE","ON TRACK"))))</f>
        <v/>
      </c>
      <c r="S44" s="35"/>
      <c r="T44" s="35"/>
      <c r="U44" s="38"/>
      <c r="V44" s="34"/>
      <c r="W44" s="35" t="str">
        <f aca="false">IF(OR($R44="OVERDUE",$R44="DUE SOON",$R44="FOLLOW-UP DUE"),MAX(W$3:W43)+1,"")</f>
        <v/>
      </c>
    </row>
    <row r="45" customFormat="false" ht="15" hidden="false" customHeight="false" outlineLevel="0" collapsed="false">
      <c r="A45" s="33" t="str">
        <f aca="false">IF($D45="","","JOB-"&amp;TEXT(ROW()-3,"000"))</f>
        <v/>
      </c>
      <c r="B45" s="34"/>
      <c r="C45" s="35"/>
      <c r="D45" s="35"/>
      <c r="E45" s="35"/>
      <c r="F45" s="35"/>
      <c r="G45" s="33"/>
      <c r="H45" s="35"/>
      <c r="I45" s="35"/>
      <c r="J45" s="35"/>
      <c r="K45" s="33"/>
      <c r="L45" s="33"/>
      <c r="M45" s="34"/>
      <c r="N45" s="34"/>
      <c r="O45" s="34"/>
      <c r="P45" s="34" t="str">
        <f aca="false">IF(OR($D45="",$M45=""),"",IF(IFERROR(INDEX(Settings!$C$11:$C$19,MATCH($L45,Settings!$B$11:$B$19,0)),"Yes")="No","",MAX($M45,$O45)+Settings!$C$6))</f>
        <v/>
      </c>
      <c r="Q45" s="36" t="str">
        <f aca="true">IF($D45="","",IF(IFERROR(INDEX(Settings!$C$11:$C$19,MATCH($L45,Settings!$B$11:$B$19,0)),"Yes")="No","",IF($M45="",IF($N45="","",$N45-TODAY()),IF($P45="","",$P45-TODAY()))))</f>
        <v/>
      </c>
      <c r="R45" s="37" t="str">
        <f aca="true">IF($D45="","",IF(IFERROR(INDEX(Settings!$C$11:$C$19,MATCH($L45,Settings!$B$11:$B$19,0)),"Yes")="No","CLOSED",IF($M45="",IF($N45="","ON TRACK",IF($N45&lt;TODAY(),"OVERDUE",IF($N45-TODAY()&lt;=Settings!$C$5,"DUE SOON","ON TRACK"))),IF($P45&lt;=TODAY(),"FOLLOW-UP DUE","ON TRACK"))))</f>
        <v/>
      </c>
      <c r="S45" s="35"/>
      <c r="T45" s="35"/>
      <c r="U45" s="38"/>
      <c r="V45" s="34"/>
      <c r="W45" s="35" t="str">
        <f aca="false">IF(OR($R45="OVERDUE",$R45="DUE SOON",$R45="FOLLOW-UP DUE"),MAX(W$3:W44)+1,"")</f>
        <v/>
      </c>
    </row>
    <row r="46" customFormat="false" ht="15" hidden="false" customHeight="false" outlineLevel="0" collapsed="false">
      <c r="A46" s="33" t="str">
        <f aca="false">IF($D46="","","JOB-"&amp;TEXT(ROW()-3,"000"))</f>
        <v/>
      </c>
      <c r="B46" s="34"/>
      <c r="C46" s="35"/>
      <c r="D46" s="35"/>
      <c r="E46" s="35"/>
      <c r="F46" s="35"/>
      <c r="G46" s="33"/>
      <c r="H46" s="35"/>
      <c r="I46" s="35"/>
      <c r="J46" s="35"/>
      <c r="K46" s="33"/>
      <c r="L46" s="33"/>
      <c r="M46" s="34"/>
      <c r="N46" s="34"/>
      <c r="O46" s="34"/>
      <c r="P46" s="34" t="str">
        <f aca="false">IF(OR($D46="",$M46=""),"",IF(IFERROR(INDEX(Settings!$C$11:$C$19,MATCH($L46,Settings!$B$11:$B$19,0)),"Yes")="No","",MAX($M46,$O46)+Settings!$C$6))</f>
        <v/>
      </c>
      <c r="Q46" s="36" t="str">
        <f aca="true">IF($D46="","",IF(IFERROR(INDEX(Settings!$C$11:$C$19,MATCH($L46,Settings!$B$11:$B$19,0)),"Yes")="No","",IF($M46="",IF($N46="","",$N46-TODAY()),IF($P46="","",$P46-TODAY()))))</f>
        <v/>
      </c>
      <c r="R46" s="37" t="str">
        <f aca="true">IF($D46="","",IF(IFERROR(INDEX(Settings!$C$11:$C$19,MATCH($L46,Settings!$B$11:$B$19,0)),"Yes")="No","CLOSED",IF($M46="",IF($N46="","ON TRACK",IF($N46&lt;TODAY(),"OVERDUE",IF($N46-TODAY()&lt;=Settings!$C$5,"DUE SOON","ON TRACK"))),IF($P46&lt;=TODAY(),"FOLLOW-UP DUE","ON TRACK"))))</f>
        <v/>
      </c>
      <c r="S46" s="35"/>
      <c r="T46" s="35"/>
      <c r="U46" s="38"/>
      <c r="V46" s="34"/>
      <c r="W46" s="35" t="str">
        <f aca="false">IF(OR($R46="OVERDUE",$R46="DUE SOON",$R46="FOLLOW-UP DUE"),MAX(W$3:W45)+1,"")</f>
        <v/>
      </c>
    </row>
    <row r="47" customFormat="false" ht="15" hidden="false" customHeight="false" outlineLevel="0" collapsed="false">
      <c r="A47" s="33" t="str">
        <f aca="false">IF($D47="","","JOB-"&amp;TEXT(ROW()-3,"000"))</f>
        <v/>
      </c>
      <c r="B47" s="34"/>
      <c r="C47" s="35"/>
      <c r="D47" s="35"/>
      <c r="E47" s="35"/>
      <c r="F47" s="35"/>
      <c r="G47" s="33"/>
      <c r="H47" s="35"/>
      <c r="I47" s="35"/>
      <c r="J47" s="35"/>
      <c r="K47" s="33"/>
      <c r="L47" s="33"/>
      <c r="M47" s="34"/>
      <c r="N47" s="34"/>
      <c r="O47" s="34"/>
      <c r="P47" s="34" t="str">
        <f aca="false">IF(OR($D47="",$M47=""),"",IF(IFERROR(INDEX(Settings!$C$11:$C$19,MATCH($L47,Settings!$B$11:$B$19,0)),"Yes")="No","",MAX($M47,$O47)+Settings!$C$6))</f>
        <v/>
      </c>
      <c r="Q47" s="36" t="str">
        <f aca="true">IF($D47="","",IF(IFERROR(INDEX(Settings!$C$11:$C$19,MATCH($L47,Settings!$B$11:$B$19,0)),"Yes")="No","",IF($M47="",IF($N47="","",$N47-TODAY()),IF($P47="","",$P47-TODAY()))))</f>
        <v/>
      </c>
      <c r="R47" s="37" t="str">
        <f aca="true">IF($D47="","",IF(IFERROR(INDEX(Settings!$C$11:$C$19,MATCH($L47,Settings!$B$11:$B$19,0)),"Yes")="No","CLOSED",IF($M47="",IF($N47="","ON TRACK",IF($N47&lt;TODAY(),"OVERDUE",IF($N47-TODAY()&lt;=Settings!$C$5,"DUE SOON","ON TRACK"))),IF($P47&lt;=TODAY(),"FOLLOW-UP DUE","ON TRACK"))))</f>
        <v/>
      </c>
      <c r="S47" s="35"/>
      <c r="T47" s="35"/>
      <c r="U47" s="38"/>
      <c r="V47" s="34"/>
      <c r="W47" s="35" t="str">
        <f aca="false">IF(OR($R47="OVERDUE",$R47="DUE SOON",$R47="FOLLOW-UP DUE"),MAX(W$3:W46)+1,"")</f>
        <v/>
      </c>
    </row>
    <row r="48" customFormat="false" ht="15" hidden="false" customHeight="false" outlineLevel="0" collapsed="false">
      <c r="A48" s="33" t="str">
        <f aca="false">IF($D48="","","JOB-"&amp;TEXT(ROW()-3,"000"))</f>
        <v/>
      </c>
      <c r="B48" s="34"/>
      <c r="C48" s="35"/>
      <c r="D48" s="35"/>
      <c r="E48" s="35"/>
      <c r="F48" s="35"/>
      <c r="G48" s="33"/>
      <c r="H48" s="35"/>
      <c r="I48" s="35"/>
      <c r="J48" s="35"/>
      <c r="K48" s="33"/>
      <c r="L48" s="33"/>
      <c r="M48" s="34"/>
      <c r="N48" s="34"/>
      <c r="O48" s="34"/>
      <c r="P48" s="34" t="str">
        <f aca="false">IF(OR($D48="",$M48=""),"",IF(IFERROR(INDEX(Settings!$C$11:$C$19,MATCH($L48,Settings!$B$11:$B$19,0)),"Yes")="No","",MAX($M48,$O48)+Settings!$C$6))</f>
        <v/>
      </c>
      <c r="Q48" s="36" t="str">
        <f aca="true">IF($D48="","",IF(IFERROR(INDEX(Settings!$C$11:$C$19,MATCH($L48,Settings!$B$11:$B$19,0)),"Yes")="No","",IF($M48="",IF($N48="","",$N48-TODAY()),IF($P48="","",$P48-TODAY()))))</f>
        <v/>
      </c>
      <c r="R48" s="37" t="str">
        <f aca="true">IF($D48="","",IF(IFERROR(INDEX(Settings!$C$11:$C$19,MATCH($L48,Settings!$B$11:$B$19,0)),"Yes")="No","CLOSED",IF($M48="",IF($N48="","ON TRACK",IF($N48&lt;TODAY(),"OVERDUE",IF($N48-TODAY()&lt;=Settings!$C$5,"DUE SOON","ON TRACK"))),IF($P48&lt;=TODAY(),"FOLLOW-UP DUE","ON TRACK"))))</f>
        <v/>
      </c>
      <c r="S48" s="35"/>
      <c r="T48" s="35"/>
      <c r="U48" s="38"/>
      <c r="V48" s="34"/>
      <c r="W48" s="35" t="str">
        <f aca="false">IF(OR($R48="OVERDUE",$R48="DUE SOON",$R48="FOLLOW-UP DUE"),MAX(W$3:W47)+1,"")</f>
        <v/>
      </c>
    </row>
    <row r="49" customFormat="false" ht="15" hidden="false" customHeight="false" outlineLevel="0" collapsed="false">
      <c r="A49" s="33" t="str">
        <f aca="false">IF($D49="","","JOB-"&amp;TEXT(ROW()-3,"000"))</f>
        <v/>
      </c>
      <c r="B49" s="34"/>
      <c r="C49" s="35"/>
      <c r="D49" s="35"/>
      <c r="E49" s="35"/>
      <c r="F49" s="35"/>
      <c r="G49" s="33"/>
      <c r="H49" s="35"/>
      <c r="I49" s="35"/>
      <c r="J49" s="35"/>
      <c r="K49" s="33"/>
      <c r="L49" s="33"/>
      <c r="M49" s="34"/>
      <c r="N49" s="34"/>
      <c r="O49" s="34"/>
      <c r="P49" s="34" t="str">
        <f aca="false">IF(OR($D49="",$M49=""),"",IF(IFERROR(INDEX(Settings!$C$11:$C$19,MATCH($L49,Settings!$B$11:$B$19,0)),"Yes")="No","",MAX($M49,$O49)+Settings!$C$6))</f>
        <v/>
      </c>
      <c r="Q49" s="36" t="str">
        <f aca="true">IF($D49="","",IF(IFERROR(INDEX(Settings!$C$11:$C$19,MATCH($L49,Settings!$B$11:$B$19,0)),"Yes")="No","",IF($M49="",IF($N49="","",$N49-TODAY()),IF($P49="","",$P49-TODAY()))))</f>
        <v/>
      </c>
      <c r="R49" s="37" t="str">
        <f aca="true">IF($D49="","",IF(IFERROR(INDEX(Settings!$C$11:$C$19,MATCH($L49,Settings!$B$11:$B$19,0)),"Yes")="No","CLOSED",IF($M49="",IF($N49="","ON TRACK",IF($N49&lt;TODAY(),"OVERDUE",IF($N49-TODAY()&lt;=Settings!$C$5,"DUE SOON","ON TRACK"))),IF($P49&lt;=TODAY(),"FOLLOW-UP DUE","ON TRACK"))))</f>
        <v/>
      </c>
      <c r="S49" s="35"/>
      <c r="T49" s="35"/>
      <c r="U49" s="38"/>
      <c r="V49" s="34"/>
      <c r="W49" s="35" t="str">
        <f aca="false">IF(OR($R49="OVERDUE",$R49="DUE SOON",$R49="FOLLOW-UP DUE"),MAX(W$3:W48)+1,"")</f>
        <v/>
      </c>
    </row>
    <row r="50" customFormat="false" ht="15" hidden="false" customHeight="false" outlineLevel="0" collapsed="false">
      <c r="A50" s="33" t="str">
        <f aca="false">IF($D50="","","JOB-"&amp;TEXT(ROW()-3,"000"))</f>
        <v/>
      </c>
      <c r="B50" s="34"/>
      <c r="C50" s="35"/>
      <c r="D50" s="35"/>
      <c r="E50" s="35"/>
      <c r="F50" s="35"/>
      <c r="G50" s="33"/>
      <c r="H50" s="35"/>
      <c r="I50" s="35"/>
      <c r="J50" s="35"/>
      <c r="K50" s="33"/>
      <c r="L50" s="33"/>
      <c r="M50" s="34"/>
      <c r="N50" s="34"/>
      <c r="O50" s="34"/>
      <c r="P50" s="34" t="str">
        <f aca="false">IF(OR($D50="",$M50=""),"",IF(IFERROR(INDEX(Settings!$C$11:$C$19,MATCH($L50,Settings!$B$11:$B$19,0)),"Yes")="No","",MAX($M50,$O50)+Settings!$C$6))</f>
        <v/>
      </c>
      <c r="Q50" s="36" t="str">
        <f aca="true">IF($D50="","",IF(IFERROR(INDEX(Settings!$C$11:$C$19,MATCH($L50,Settings!$B$11:$B$19,0)),"Yes")="No","",IF($M50="",IF($N50="","",$N50-TODAY()),IF($P50="","",$P50-TODAY()))))</f>
        <v/>
      </c>
      <c r="R50" s="37" t="str">
        <f aca="true">IF($D50="","",IF(IFERROR(INDEX(Settings!$C$11:$C$19,MATCH($L50,Settings!$B$11:$B$19,0)),"Yes")="No","CLOSED",IF($M50="",IF($N50="","ON TRACK",IF($N50&lt;TODAY(),"OVERDUE",IF($N50-TODAY()&lt;=Settings!$C$5,"DUE SOON","ON TRACK"))),IF($P50&lt;=TODAY(),"FOLLOW-UP DUE","ON TRACK"))))</f>
        <v/>
      </c>
      <c r="S50" s="35"/>
      <c r="T50" s="35"/>
      <c r="U50" s="38"/>
      <c r="V50" s="34"/>
      <c r="W50" s="35" t="str">
        <f aca="false">IF(OR($R50="OVERDUE",$R50="DUE SOON",$R50="FOLLOW-UP DUE"),MAX(W$3:W49)+1,"")</f>
        <v/>
      </c>
    </row>
    <row r="51" customFormat="false" ht="15" hidden="false" customHeight="false" outlineLevel="0" collapsed="false">
      <c r="A51" s="33" t="str">
        <f aca="false">IF($D51="","","JOB-"&amp;TEXT(ROW()-3,"000"))</f>
        <v/>
      </c>
      <c r="B51" s="34"/>
      <c r="C51" s="35"/>
      <c r="D51" s="35"/>
      <c r="E51" s="35"/>
      <c r="F51" s="35"/>
      <c r="G51" s="33"/>
      <c r="H51" s="35"/>
      <c r="I51" s="35"/>
      <c r="J51" s="35"/>
      <c r="K51" s="33"/>
      <c r="L51" s="33"/>
      <c r="M51" s="34"/>
      <c r="N51" s="34"/>
      <c r="O51" s="34"/>
      <c r="P51" s="34" t="str">
        <f aca="false">IF(OR($D51="",$M51=""),"",IF(IFERROR(INDEX(Settings!$C$11:$C$19,MATCH($L51,Settings!$B$11:$B$19,0)),"Yes")="No","",MAX($M51,$O51)+Settings!$C$6))</f>
        <v/>
      </c>
      <c r="Q51" s="36" t="str">
        <f aca="true">IF($D51="","",IF(IFERROR(INDEX(Settings!$C$11:$C$19,MATCH($L51,Settings!$B$11:$B$19,0)),"Yes")="No","",IF($M51="",IF($N51="","",$N51-TODAY()),IF($P51="","",$P51-TODAY()))))</f>
        <v/>
      </c>
      <c r="R51" s="37" t="str">
        <f aca="true">IF($D51="","",IF(IFERROR(INDEX(Settings!$C$11:$C$19,MATCH($L51,Settings!$B$11:$B$19,0)),"Yes")="No","CLOSED",IF($M51="",IF($N51="","ON TRACK",IF($N51&lt;TODAY(),"OVERDUE",IF($N51-TODAY()&lt;=Settings!$C$5,"DUE SOON","ON TRACK"))),IF($P51&lt;=TODAY(),"FOLLOW-UP DUE","ON TRACK"))))</f>
        <v/>
      </c>
      <c r="S51" s="35"/>
      <c r="T51" s="35"/>
      <c r="U51" s="38"/>
      <c r="V51" s="34"/>
      <c r="W51" s="35" t="str">
        <f aca="false">IF(OR($R51="OVERDUE",$R51="DUE SOON",$R51="FOLLOW-UP DUE"),MAX(W$3:W50)+1,"")</f>
        <v/>
      </c>
    </row>
    <row r="52" customFormat="false" ht="15" hidden="false" customHeight="false" outlineLevel="0" collapsed="false">
      <c r="A52" s="33" t="str">
        <f aca="false">IF($D52="","","JOB-"&amp;TEXT(ROW()-3,"000"))</f>
        <v/>
      </c>
      <c r="B52" s="34"/>
      <c r="C52" s="35"/>
      <c r="D52" s="35"/>
      <c r="E52" s="35"/>
      <c r="F52" s="35"/>
      <c r="G52" s="33"/>
      <c r="H52" s="35"/>
      <c r="I52" s="35"/>
      <c r="J52" s="35"/>
      <c r="K52" s="33"/>
      <c r="L52" s="33"/>
      <c r="M52" s="34"/>
      <c r="N52" s="34"/>
      <c r="O52" s="34"/>
      <c r="P52" s="34" t="str">
        <f aca="false">IF(OR($D52="",$M52=""),"",IF(IFERROR(INDEX(Settings!$C$11:$C$19,MATCH($L52,Settings!$B$11:$B$19,0)),"Yes")="No","",MAX($M52,$O52)+Settings!$C$6))</f>
        <v/>
      </c>
      <c r="Q52" s="36" t="str">
        <f aca="true">IF($D52="","",IF(IFERROR(INDEX(Settings!$C$11:$C$19,MATCH($L52,Settings!$B$11:$B$19,0)),"Yes")="No","",IF($M52="",IF($N52="","",$N52-TODAY()),IF($P52="","",$P52-TODAY()))))</f>
        <v/>
      </c>
      <c r="R52" s="37" t="str">
        <f aca="true">IF($D52="","",IF(IFERROR(INDEX(Settings!$C$11:$C$19,MATCH($L52,Settings!$B$11:$B$19,0)),"Yes")="No","CLOSED",IF($M52="",IF($N52="","ON TRACK",IF($N52&lt;TODAY(),"OVERDUE",IF($N52-TODAY()&lt;=Settings!$C$5,"DUE SOON","ON TRACK"))),IF($P52&lt;=TODAY(),"FOLLOW-UP DUE","ON TRACK"))))</f>
        <v/>
      </c>
      <c r="S52" s="35"/>
      <c r="T52" s="35"/>
      <c r="U52" s="38"/>
      <c r="V52" s="34"/>
      <c r="W52" s="35" t="str">
        <f aca="false">IF(OR($R52="OVERDUE",$R52="DUE SOON",$R52="FOLLOW-UP DUE"),MAX(W$3:W51)+1,"")</f>
        <v/>
      </c>
    </row>
    <row r="53" customFormat="false" ht="15" hidden="false" customHeight="false" outlineLevel="0" collapsed="false">
      <c r="A53" s="33" t="str">
        <f aca="false">IF($D53="","","JOB-"&amp;TEXT(ROW()-3,"000"))</f>
        <v/>
      </c>
      <c r="B53" s="34"/>
      <c r="C53" s="35"/>
      <c r="D53" s="35"/>
      <c r="E53" s="35"/>
      <c r="F53" s="35"/>
      <c r="G53" s="33"/>
      <c r="H53" s="35"/>
      <c r="I53" s="35"/>
      <c r="J53" s="35"/>
      <c r="K53" s="33"/>
      <c r="L53" s="33"/>
      <c r="M53" s="34"/>
      <c r="N53" s="34"/>
      <c r="O53" s="34"/>
      <c r="P53" s="34" t="str">
        <f aca="false">IF(OR($D53="",$M53=""),"",IF(IFERROR(INDEX(Settings!$C$11:$C$19,MATCH($L53,Settings!$B$11:$B$19,0)),"Yes")="No","",MAX($M53,$O53)+Settings!$C$6))</f>
        <v/>
      </c>
      <c r="Q53" s="36" t="str">
        <f aca="true">IF($D53="","",IF(IFERROR(INDEX(Settings!$C$11:$C$19,MATCH($L53,Settings!$B$11:$B$19,0)),"Yes")="No","",IF($M53="",IF($N53="","",$N53-TODAY()),IF($P53="","",$P53-TODAY()))))</f>
        <v/>
      </c>
      <c r="R53" s="37" t="str">
        <f aca="true">IF($D53="","",IF(IFERROR(INDEX(Settings!$C$11:$C$19,MATCH($L53,Settings!$B$11:$B$19,0)),"Yes")="No","CLOSED",IF($M53="",IF($N53="","ON TRACK",IF($N53&lt;TODAY(),"OVERDUE",IF($N53-TODAY()&lt;=Settings!$C$5,"DUE SOON","ON TRACK"))),IF($P53&lt;=TODAY(),"FOLLOW-UP DUE","ON TRACK"))))</f>
        <v/>
      </c>
      <c r="S53" s="35"/>
      <c r="T53" s="35"/>
      <c r="U53" s="38"/>
      <c r="V53" s="34"/>
      <c r="W53" s="35" t="str">
        <f aca="false">IF(OR($R53="OVERDUE",$R53="DUE SOON",$R53="FOLLOW-UP DUE"),MAX(W$3:W52)+1,"")</f>
        <v/>
      </c>
    </row>
    <row r="54" customFormat="false" ht="15" hidden="false" customHeight="false" outlineLevel="0" collapsed="false">
      <c r="A54" s="33" t="str">
        <f aca="false">IF($D54="","","JOB-"&amp;TEXT(ROW()-3,"000"))</f>
        <v/>
      </c>
      <c r="B54" s="34"/>
      <c r="C54" s="35"/>
      <c r="D54" s="35"/>
      <c r="E54" s="35"/>
      <c r="F54" s="35"/>
      <c r="G54" s="33"/>
      <c r="H54" s="35"/>
      <c r="I54" s="35"/>
      <c r="J54" s="35"/>
      <c r="K54" s="33"/>
      <c r="L54" s="33"/>
      <c r="M54" s="34"/>
      <c r="N54" s="34"/>
      <c r="O54" s="34"/>
      <c r="P54" s="34" t="str">
        <f aca="false">IF(OR($D54="",$M54=""),"",IF(IFERROR(INDEX(Settings!$C$11:$C$19,MATCH($L54,Settings!$B$11:$B$19,0)),"Yes")="No","",MAX($M54,$O54)+Settings!$C$6))</f>
        <v/>
      </c>
      <c r="Q54" s="36" t="str">
        <f aca="true">IF($D54="","",IF(IFERROR(INDEX(Settings!$C$11:$C$19,MATCH($L54,Settings!$B$11:$B$19,0)),"Yes")="No","",IF($M54="",IF($N54="","",$N54-TODAY()),IF($P54="","",$P54-TODAY()))))</f>
        <v/>
      </c>
      <c r="R54" s="37" t="str">
        <f aca="true">IF($D54="","",IF(IFERROR(INDEX(Settings!$C$11:$C$19,MATCH($L54,Settings!$B$11:$B$19,0)),"Yes")="No","CLOSED",IF($M54="",IF($N54="","ON TRACK",IF($N54&lt;TODAY(),"OVERDUE",IF($N54-TODAY()&lt;=Settings!$C$5,"DUE SOON","ON TRACK"))),IF($P54&lt;=TODAY(),"FOLLOW-UP DUE","ON TRACK"))))</f>
        <v/>
      </c>
      <c r="S54" s="35"/>
      <c r="T54" s="35"/>
      <c r="U54" s="38"/>
      <c r="V54" s="34"/>
      <c r="W54" s="35" t="str">
        <f aca="false">IF(OR($R54="OVERDUE",$R54="DUE SOON",$R54="FOLLOW-UP DUE"),MAX(W$3:W53)+1,"")</f>
        <v/>
      </c>
    </row>
    <row r="55" customFormat="false" ht="15" hidden="false" customHeight="false" outlineLevel="0" collapsed="false">
      <c r="A55" s="33" t="str">
        <f aca="false">IF($D55="","","JOB-"&amp;TEXT(ROW()-3,"000"))</f>
        <v/>
      </c>
      <c r="B55" s="34"/>
      <c r="C55" s="35"/>
      <c r="D55" s="35"/>
      <c r="E55" s="35"/>
      <c r="F55" s="35"/>
      <c r="G55" s="33"/>
      <c r="H55" s="35"/>
      <c r="I55" s="35"/>
      <c r="J55" s="35"/>
      <c r="K55" s="33"/>
      <c r="L55" s="33"/>
      <c r="M55" s="34"/>
      <c r="N55" s="34"/>
      <c r="O55" s="34"/>
      <c r="P55" s="34" t="str">
        <f aca="false">IF(OR($D55="",$M55=""),"",IF(IFERROR(INDEX(Settings!$C$11:$C$19,MATCH($L55,Settings!$B$11:$B$19,0)),"Yes")="No","",MAX($M55,$O55)+Settings!$C$6))</f>
        <v/>
      </c>
      <c r="Q55" s="36" t="str">
        <f aca="true">IF($D55="","",IF(IFERROR(INDEX(Settings!$C$11:$C$19,MATCH($L55,Settings!$B$11:$B$19,0)),"Yes")="No","",IF($M55="",IF($N55="","",$N55-TODAY()),IF($P55="","",$P55-TODAY()))))</f>
        <v/>
      </c>
      <c r="R55" s="37" t="str">
        <f aca="true">IF($D55="","",IF(IFERROR(INDEX(Settings!$C$11:$C$19,MATCH($L55,Settings!$B$11:$B$19,0)),"Yes")="No","CLOSED",IF($M55="",IF($N55="","ON TRACK",IF($N55&lt;TODAY(),"OVERDUE",IF($N55-TODAY()&lt;=Settings!$C$5,"DUE SOON","ON TRACK"))),IF($P55&lt;=TODAY(),"FOLLOW-UP DUE","ON TRACK"))))</f>
        <v/>
      </c>
      <c r="S55" s="35"/>
      <c r="T55" s="35"/>
      <c r="U55" s="38"/>
      <c r="V55" s="34"/>
      <c r="W55" s="35" t="str">
        <f aca="false">IF(OR($R55="OVERDUE",$R55="DUE SOON",$R55="FOLLOW-UP DUE"),MAX(W$3:W54)+1,"")</f>
        <v/>
      </c>
    </row>
    <row r="56" customFormat="false" ht="15" hidden="false" customHeight="false" outlineLevel="0" collapsed="false">
      <c r="A56" s="33" t="str">
        <f aca="false">IF($D56="","","JOB-"&amp;TEXT(ROW()-3,"000"))</f>
        <v/>
      </c>
      <c r="B56" s="34"/>
      <c r="C56" s="35"/>
      <c r="D56" s="35"/>
      <c r="E56" s="35"/>
      <c r="F56" s="35"/>
      <c r="G56" s="33"/>
      <c r="H56" s="35"/>
      <c r="I56" s="35"/>
      <c r="J56" s="35"/>
      <c r="K56" s="33"/>
      <c r="L56" s="33"/>
      <c r="M56" s="34"/>
      <c r="N56" s="34"/>
      <c r="O56" s="34"/>
      <c r="P56" s="34" t="str">
        <f aca="false">IF(OR($D56="",$M56=""),"",IF(IFERROR(INDEX(Settings!$C$11:$C$19,MATCH($L56,Settings!$B$11:$B$19,0)),"Yes")="No","",MAX($M56,$O56)+Settings!$C$6))</f>
        <v/>
      </c>
      <c r="Q56" s="36" t="str">
        <f aca="true">IF($D56="","",IF(IFERROR(INDEX(Settings!$C$11:$C$19,MATCH($L56,Settings!$B$11:$B$19,0)),"Yes")="No","",IF($M56="",IF($N56="","",$N56-TODAY()),IF($P56="","",$P56-TODAY()))))</f>
        <v/>
      </c>
      <c r="R56" s="37" t="str">
        <f aca="true">IF($D56="","",IF(IFERROR(INDEX(Settings!$C$11:$C$19,MATCH($L56,Settings!$B$11:$B$19,0)),"Yes")="No","CLOSED",IF($M56="",IF($N56="","ON TRACK",IF($N56&lt;TODAY(),"OVERDUE",IF($N56-TODAY()&lt;=Settings!$C$5,"DUE SOON","ON TRACK"))),IF($P56&lt;=TODAY(),"FOLLOW-UP DUE","ON TRACK"))))</f>
        <v/>
      </c>
      <c r="S56" s="35"/>
      <c r="T56" s="35"/>
      <c r="U56" s="38"/>
      <c r="V56" s="34"/>
      <c r="W56" s="35" t="str">
        <f aca="false">IF(OR($R56="OVERDUE",$R56="DUE SOON",$R56="FOLLOW-UP DUE"),MAX(W$3:W55)+1,"")</f>
        <v/>
      </c>
    </row>
    <row r="57" customFormat="false" ht="15" hidden="false" customHeight="false" outlineLevel="0" collapsed="false">
      <c r="A57" s="33" t="str">
        <f aca="false">IF($D57="","","JOB-"&amp;TEXT(ROW()-3,"000"))</f>
        <v/>
      </c>
      <c r="B57" s="34"/>
      <c r="C57" s="35"/>
      <c r="D57" s="35"/>
      <c r="E57" s="35"/>
      <c r="F57" s="35"/>
      <c r="G57" s="33"/>
      <c r="H57" s="35"/>
      <c r="I57" s="35"/>
      <c r="J57" s="35"/>
      <c r="K57" s="33"/>
      <c r="L57" s="33"/>
      <c r="M57" s="34"/>
      <c r="N57" s="34"/>
      <c r="O57" s="34"/>
      <c r="P57" s="34" t="str">
        <f aca="false">IF(OR($D57="",$M57=""),"",IF(IFERROR(INDEX(Settings!$C$11:$C$19,MATCH($L57,Settings!$B$11:$B$19,0)),"Yes")="No","",MAX($M57,$O57)+Settings!$C$6))</f>
        <v/>
      </c>
      <c r="Q57" s="36" t="str">
        <f aca="true">IF($D57="","",IF(IFERROR(INDEX(Settings!$C$11:$C$19,MATCH($L57,Settings!$B$11:$B$19,0)),"Yes")="No","",IF($M57="",IF($N57="","",$N57-TODAY()),IF($P57="","",$P57-TODAY()))))</f>
        <v/>
      </c>
      <c r="R57" s="37" t="str">
        <f aca="true">IF($D57="","",IF(IFERROR(INDEX(Settings!$C$11:$C$19,MATCH($L57,Settings!$B$11:$B$19,0)),"Yes")="No","CLOSED",IF($M57="",IF($N57="","ON TRACK",IF($N57&lt;TODAY(),"OVERDUE",IF($N57-TODAY()&lt;=Settings!$C$5,"DUE SOON","ON TRACK"))),IF($P57&lt;=TODAY(),"FOLLOW-UP DUE","ON TRACK"))))</f>
        <v/>
      </c>
      <c r="S57" s="35"/>
      <c r="T57" s="35"/>
      <c r="U57" s="38"/>
      <c r="V57" s="34"/>
      <c r="W57" s="35" t="str">
        <f aca="false">IF(OR($R57="OVERDUE",$R57="DUE SOON",$R57="FOLLOW-UP DUE"),MAX(W$3:W56)+1,"")</f>
        <v/>
      </c>
    </row>
    <row r="58" customFormat="false" ht="15" hidden="false" customHeight="false" outlineLevel="0" collapsed="false">
      <c r="A58" s="33" t="str">
        <f aca="false">IF($D58="","","JOB-"&amp;TEXT(ROW()-3,"000"))</f>
        <v/>
      </c>
      <c r="B58" s="34"/>
      <c r="C58" s="35"/>
      <c r="D58" s="35"/>
      <c r="E58" s="35"/>
      <c r="F58" s="35"/>
      <c r="G58" s="33"/>
      <c r="H58" s="35"/>
      <c r="I58" s="35"/>
      <c r="J58" s="35"/>
      <c r="K58" s="33"/>
      <c r="L58" s="33"/>
      <c r="M58" s="34"/>
      <c r="N58" s="34"/>
      <c r="O58" s="34"/>
      <c r="P58" s="34" t="str">
        <f aca="false">IF(OR($D58="",$M58=""),"",IF(IFERROR(INDEX(Settings!$C$11:$C$19,MATCH($L58,Settings!$B$11:$B$19,0)),"Yes")="No","",MAX($M58,$O58)+Settings!$C$6))</f>
        <v/>
      </c>
      <c r="Q58" s="36" t="str">
        <f aca="true">IF($D58="","",IF(IFERROR(INDEX(Settings!$C$11:$C$19,MATCH($L58,Settings!$B$11:$B$19,0)),"Yes")="No","",IF($M58="",IF($N58="","",$N58-TODAY()),IF($P58="","",$P58-TODAY()))))</f>
        <v/>
      </c>
      <c r="R58" s="37" t="str">
        <f aca="true">IF($D58="","",IF(IFERROR(INDEX(Settings!$C$11:$C$19,MATCH($L58,Settings!$B$11:$B$19,0)),"Yes")="No","CLOSED",IF($M58="",IF($N58="","ON TRACK",IF($N58&lt;TODAY(),"OVERDUE",IF($N58-TODAY()&lt;=Settings!$C$5,"DUE SOON","ON TRACK"))),IF($P58&lt;=TODAY(),"FOLLOW-UP DUE","ON TRACK"))))</f>
        <v/>
      </c>
      <c r="S58" s="35"/>
      <c r="T58" s="35"/>
      <c r="U58" s="38"/>
      <c r="V58" s="34"/>
      <c r="W58" s="35" t="str">
        <f aca="false">IF(OR($R58="OVERDUE",$R58="DUE SOON",$R58="FOLLOW-UP DUE"),MAX(W$3:W57)+1,"")</f>
        <v/>
      </c>
    </row>
    <row r="59" customFormat="false" ht="15" hidden="false" customHeight="false" outlineLevel="0" collapsed="false">
      <c r="A59" s="33" t="str">
        <f aca="false">IF($D59="","","JOB-"&amp;TEXT(ROW()-3,"000"))</f>
        <v/>
      </c>
      <c r="B59" s="34"/>
      <c r="C59" s="35"/>
      <c r="D59" s="35"/>
      <c r="E59" s="35"/>
      <c r="F59" s="35"/>
      <c r="G59" s="33"/>
      <c r="H59" s="35"/>
      <c r="I59" s="35"/>
      <c r="J59" s="35"/>
      <c r="K59" s="33"/>
      <c r="L59" s="33"/>
      <c r="M59" s="34"/>
      <c r="N59" s="34"/>
      <c r="O59" s="34"/>
      <c r="P59" s="34" t="str">
        <f aca="false">IF(OR($D59="",$M59=""),"",IF(IFERROR(INDEX(Settings!$C$11:$C$19,MATCH($L59,Settings!$B$11:$B$19,0)),"Yes")="No","",MAX($M59,$O59)+Settings!$C$6))</f>
        <v/>
      </c>
      <c r="Q59" s="36" t="str">
        <f aca="true">IF($D59="","",IF(IFERROR(INDEX(Settings!$C$11:$C$19,MATCH($L59,Settings!$B$11:$B$19,0)),"Yes")="No","",IF($M59="",IF($N59="","",$N59-TODAY()),IF($P59="","",$P59-TODAY()))))</f>
        <v/>
      </c>
      <c r="R59" s="37" t="str">
        <f aca="true">IF($D59="","",IF(IFERROR(INDEX(Settings!$C$11:$C$19,MATCH($L59,Settings!$B$11:$B$19,0)),"Yes")="No","CLOSED",IF($M59="",IF($N59="","ON TRACK",IF($N59&lt;TODAY(),"OVERDUE",IF($N59-TODAY()&lt;=Settings!$C$5,"DUE SOON","ON TRACK"))),IF($P59&lt;=TODAY(),"FOLLOW-UP DUE","ON TRACK"))))</f>
        <v/>
      </c>
      <c r="S59" s="35"/>
      <c r="T59" s="35"/>
      <c r="U59" s="38"/>
      <c r="V59" s="34"/>
      <c r="W59" s="35" t="str">
        <f aca="false">IF(OR($R59="OVERDUE",$R59="DUE SOON",$R59="FOLLOW-UP DUE"),MAX(W$3:W58)+1,"")</f>
        <v/>
      </c>
    </row>
    <row r="60" customFormat="false" ht="15" hidden="false" customHeight="false" outlineLevel="0" collapsed="false">
      <c r="A60" s="33" t="str">
        <f aca="false">IF($D60="","","JOB-"&amp;TEXT(ROW()-3,"000"))</f>
        <v/>
      </c>
      <c r="B60" s="34"/>
      <c r="C60" s="35"/>
      <c r="D60" s="35"/>
      <c r="E60" s="35"/>
      <c r="F60" s="35"/>
      <c r="G60" s="33"/>
      <c r="H60" s="35"/>
      <c r="I60" s="35"/>
      <c r="J60" s="35"/>
      <c r="K60" s="33"/>
      <c r="L60" s="33"/>
      <c r="M60" s="34"/>
      <c r="N60" s="34"/>
      <c r="O60" s="34"/>
      <c r="P60" s="34" t="str">
        <f aca="false">IF(OR($D60="",$M60=""),"",IF(IFERROR(INDEX(Settings!$C$11:$C$19,MATCH($L60,Settings!$B$11:$B$19,0)),"Yes")="No","",MAX($M60,$O60)+Settings!$C$6))</f>
        <v/>
      </c>
      <c r="Q60" s="36" t="str">
        <f aca="true">IF($D60="","",IF(IFERROR(INDEX(Settings!$C$11:$C$19,MATCH($L60,Settings!$B$11:$B$19,0)),"Yes")="No","",IF($M60="",IF($N60="","",$N60-TODAY()),IF($P60="","",$P60-TODAY()))))</f>
        <v/>
      </c>
      <c r="R60" s="37" t="str">
        <f aca="true">IF($D60="","",IF(IFERROR(INDEX(Settings!$C$11:$C$19,MATCH($L60,Settings!$B$11:$B$19,0)),"Yes")="No","CLOSED",IF($M60="",IF($N60="","ON TRACK",IF($N60&lt;TODAY(),"OVERDUE",IF($N60-TODAY()&lt;=Settings!$C$5,"DUE SOON","ON TRACK"))),IF($P60&lt;=TODAY(),"FOLLOW-UP DUE","ON TRACK"))))</f>
        <v/>
      </c>
      <c r="S60" s="35"/>
      <c r="T60" s="35"/>
      <c r="U60" s="38"/>
      <c r="V60" s="34"/>
      <c r="W60" s="35" t="str">
        <f aca="false">IF(OR($R60="OVERDUE",$R60="DUE SOON",$R60="FOLLOW-UP DUE"),MAX(W$3:W59)+1,"")</f>
        <v/>
      </c>
    </row>
    <row r="61" customFormat="false" ht="15" hidden="false" customHeight="false" outlineLevel="0" collapsed="false">
      <c r="A61" s="33" t="str">
        <f aca="false">IF($D61="","","JOB-"&amp;TEXT(ROW()-3,"000"))</f>
        <v/>
      </c>
      <c r="B61" s="34"/>
      <c r="C61" s="35"/>
      <c r="D61" s="35"/>
      <c r="E61" s="35"/>
      <c r="F61" s="35"/>
      <c r="G61" s="33"/>
      <c r="H61" s="35"/>
      <c r="I61" s="35"/>
      <c r="J61" s="35"/>
      <c r="K61" s="33"/>
      <c r="L61" s="33"/>
      <c r="M61" s="34"/>
      <c r="N61" s="34"/>
      <c r="O61" s="34"/>
      <c r="P61" s="34" t="str">
        <f aca="false">IF(OR($D61="",$M61=""),"",IF(IFERROR(INDEX(Settings!$C$11:$C$19,MATCH($L61,Settings!$B$11:$B$19,0)),"Yes")="No","",MAX($M61,$O61)+Settings!$C$6))</f>
        <v/>
      </c>
      <c r="Q61" s="36" t="str">
        <f aca="true">IF($D61="","",IF(IFERROR(INDEX(Settings!$C$11:$C$19,MATCH($L61,Settings!$B$11:$B$19,0)),"Yes")="No","",IF($M61="",IF($N61="","",$N61-TODAY()),IF($P61="","",$P61-TODAY()))))</f>
        <v/>
      </c>
      <c r="R61" s="37" t="str">
        <f aca="true">IF($D61="","",IF(IFERROR(INDEX(Settings!$C$11:$C$19,MATCH($L61,Settings!$B$11:$B$19,0)),"Yes")="No","CLOSED",IF($M61="",IF($N61="","ON TRACK",IF($N61&lt;TODAY(),"OVERDUE",IF($N61-TODAY()&lt;=Settings!$C$5,"DUE SOON","ON TRACK"))),IF($P61&lt;=TODAY(),"FOLLOW-UP DUE","ON TRACK"))))</f>
        <v/>
      </c>
      <c r="S61" s="35"/>
      <c r="T61" s="35"/>
      <c r="U61" s="38"/>
      <c r="V61" s="34"/>
      <c r="W61" s="35" t="str">
        <f aca="false">IF(OR($R61="OVERDUE",$R61="DUE SOON",$R61="FOLLOW-UP DUE"),MAX(W$3:W60)+1,"")</f>
        <v/>
      </c>
    </row>
    <row r="62" customFormat="false" ht="15" hidden="false" customHeight="false" outlineLevel="0" collapsed="false">
      <c r="A62" s="33" t="str">
        <f aca="false">IF($D62="","","JOB-"&amp;TEXT(ROW()-3,"000"))</f>
        <v/>
      </c>
      <c r="B62" s="34"/>
      <c r="C62" s="35"/>
      <c r="D62" s="35"/>
      <c r="E62" s="35"/>
      <c r="F62" s="35"/>
      <c r="G62" s="33"/>
      <c r="H62" s="35"/>
      <c r="I62" s="35"/>
      <c r="J62" s="35"/>
      <c r="K62" s="33"/>
      <c r="L62" s="33"/>
      <c r="M62" s="34"/>
      <c r="N62" s="34"/>
      <c r="O62" s="34"/>
      <c r="P62" s="34" t="str">
        <f aca="false">IF(OR($D62="",$M62=""),"",IF(IFERROR(INDEX(Settings!$C$11:$C$19,MATCH($L62,Settings!$B$11:$B$19,0)),"Yes")="No","",MAX($M62,$O62)+Settings!$C$6))</f>
        <v/>
      </c>
      <c r="Q62" s="36" t="str">
        <f aca="true">IF($D62="","",IF(IFERROR(INDEX(Settings!$C$11:$C$19,MATCH($L62,Settings!$B$11:$B$19,0)),"Yes")="No","",IF($M62="",IF($N62="","",$N62-TODAY()),IF($P62="","",$P62-TODAY()))))</f>
        <v/>
      </c>
      <c r="R62" s="37" t="str">
        <f aca="true">IF($D62="","",IF(IFERROR(INDEX(Settings!$C$11:$C$19,MATCH($L62,Settings!$B$11:$B$19,0)),"Yes")="No","CLOSED",IF($M62="",IF($N62="","ON TRACK",IF($N62&lt;TODAY(),"OVERDUE",IF($N62-TODAY()&lt;=Settings!$C$5,"DUE SOON","ON TRACK"))),IF($P62&lt;=TODAY(),"FOLLOW-UP DUE","ON TRACK"))))</f>
        <v/>
      </c>
      <c r="S62" s="35"/>
      <c r="T62" s="35"/>
      <c r="U62" s="38"/>
      <c r="V62" s="34"/>
      <c r="W62" s="35" t="str">
        <f aca="false">IF(OR($R62="OVERDUE",$R62="DUE SOON",$R62="FOLLOW-UP DUE"),MAX(W$3:W61)+1,"")</f>
        <v/>
      </c>
    </row>
    <row r="63" customFormat="false" ht="15" hidden="false" customHeight="false" outlineLevel="0" collapsed="false">
      <c r="A63" s="33" t="str">
        <f aca="false">IF($D63="","","JOB-"&amp;TEXT(ROW()-3,"000"))</f>
        <v/>
      </c>
      <c r="B63" s="34"/>
      <c r="C63" s="35"/>
      <c r="D63" s="35"/>
      <c r="E63" s="35"/>
      <c r="F63" s="35"/>
      <c r="G63" s="33"/>
      <c r="H63" s="35"/>
      <c r="I63" s="35"/>
      <c r="J63" s="35"/>
      <c r="K63" s="33"/>
      <c r="L63" s="33"/>
      <c r="M63" s="34"/>
      <c r="N63" s="34"/>
      <c r="O63" s="34"/>
      <c r="P63" s="34" t="str">
        <f aca="false">IF(OR($D63="",$M63=""),"",IF(IFERROR(INDEX(Settings!$C$11:$C$19,MATCH($L63,Settings!$B$11:$B$19,0)),"Yes")="No","",MAX($M63,$O63)+Settings!$C$6))</f>
        <v/>
      </c>
      <c r="Q63" s="36" t="str">
        <f aca="true">IF($D63="","",IF(IFERROR(INDEX(Settings!$C$11:$C$19,MATCH($L63,Settings!$B$11:$B$19,0)),"Yes")="No","",IF($M63="",IF($N63="","",$N63-TODAY()),IF($P63="","",$P63-TODAY()))))</f>
        <v/>
      </c>
      <c r="R63" s="37" t="str">
        <f aca="true">IF($D63="","",IF(IFERROR(INDEX(Settings!$C$11:$C$19,MATCH($L63,Settings!$B$11:$B$19,0)),"Yes")="No","CLOSED",IF($M63="",IF($N63="","ON TRACK",IF($N63&lt;TODAY(),"OVERDUE",IF($N63-TODAY()&lt;=Settings!$C$5,"DUE SOON","ON TRACK"))),IF($P63&lt;=TODAY(),"FOLLOW-UP DUE","ON TRACK"))))</f>
        <v/>
      </c>
      <c r="S63" s="35"/>
      <c r="T63" s="35"/>
      <c r="U63" s="38"/>
      <c r="V63" s="34"/>
      <c r="W63" s="35" t="str">
        <f aca="false">IF(OR($R63="OVERDUE",$R63="DUE SOON",$R63="FOLLOW-UP DUE"),MAX(W$3:W62)+1,"")</f>
        <v/>
      </c>
    </row>
    <row r="64" customFormat="false" ht="15" hidden="false" customHeight="false" outlineLevel="0" collapsed="false">
      <c r="A64" s="33" t="str">
        <f aca="false">IF($D64="","","JOB-"&amp;TEXT(ROW()-3,"000"))</f>
        <v/>
      </c>
      <c r="B64" s="34"/>
      <c r="C64" s="35"/>
      <c r="D64" s="35"/>
      <c r="E64" s="35"/>
      <c r="F64" s="35"/>
      <c r="G64" s="33"/>
      <c r="H64" s="35"/>
      <c r="I64" s="35"/>
      <c r="J64" s="35"/>
      <c r="K64" s="33"/>
      <c r="L64" s="33"/>
      <c r="M64" s="34"/>
      <c r="N64" s="34"/>
      <c r="O64" s="34"/>
      <c r="P64" s="34" t="str">
        <f aca="false">IF(OR($D64="",$M64=""),"",IF(IFERROR(INDEX(Settings!$C$11:$C$19,MATCH($L64,Settings!$B$11:$B$19,0)),"Yes")="No","",MAX($M64,$O64)+Settings!$C$6))</f>
        <v/>
      </c>
      <c r="Q64" s="36" t="str">
        <f aca="true">IF($D64="","",IF(IFERROR(INDEX(Settings!$C$11:$C$19,MATCH($L64,Settings!$B$11:$B$19,0)),"Yes")="No","",IF($M64="",IF($N64="","",$N64-TODAY()),IF($P64="","",$P64-TODAY()))))</f>
        <v/>
      </c>
      <c r="R64" s="37" t="str">
        <f aca="true">IF($D64="","",IF(IFERROR(INDEX(Settings!$C$11:$C$19,MATCH($L64,Settings!$B$11:$B$19,0)),"Yes")="No","CLOSED",IF($M64="",IF($N64="","ON TRACK",IF($N64&lt;TODAY(),"OVERDUE",IF($N64-TODAY()&lt;=Settings!$C$5,"DUE SOON","ON TRACK"))),IF($P64&lt;=TODAY(),"FOLLOW-UP DUE","ON TRACK"))))</f>
        <v/>
      </c>
      <c r="S64" s="35"/>
      <c r="T64" s="35"/>
      <c r="U64" s="38"/>
      <c r="V64" s="34"/>
      <c r="W64" s="35" t="str">
        <f aca="false">IF(OR($R64="OVERDUE",$R64="DUE SOON",$R64="FOLLOW-UP DUE"),MAX(W$3:W63)+1,"")</f>
        <v/>
      </c>
    </row>
    <row r="65" customFormat="false" ht="15" hidden="false" customHeight="false" outlineLevel="0" collapsed="false">
      <c r="A65" s="33" t="str">
        <f aca="false">IF($D65="","","JOB-"&amp;TEXT(ROW()-3,"000"))</f>
        <v/>
      </c>
      <c r="B65" s="34"/>
      <c r="C65" s="35"/>
      <c r="D65" s="35"/>
      <c r="E65" s="35"/>
      <c r="F65" s="35"/>
      <c r="G65" s="33"/>
      <c r="H65" s="35"/>
      <c r="I65" s="35"/>
      <c r="J65" s="35"/>
      <c r="K65" s="33"/>
      <c r="L65" s="33"/>
      <c r="M65" s="34"/>
      <c r="N65" s="34"/>
      <c r="O65" s="34"/>
      <c r="P65" s="34" t="str">
        <f aca="false">IF(OR($D65="",$M65=""),"",IF(IFERROR(INDEX(Settings!$C$11:$C$19,MATCH($L65,Settings!$B$11:$B$19,0)),"Yes")="No","",MAX($M65,$O65)+Settings!$C$6))</f>
        <v/>
      </c>
      <c r="Q65" s="36" t="str">
        <f aca="true">IF($D65="","",IF(IFERROR(INDEX(Settings!$C$11:$C$19,MATCH($L65,Settings!$B$11:$B$19,0)),"Yes")="No","",IF($M65="",IF($N65="","",$N65-TODAY()),IF($P65="","",$P65-TODAY()))))</f>
        <v/>
      </c>
      <c r="R65" s="37" t="str">
        <f aca="true">IF($D65="","",IF(IFERROR(INDEX(Settings!$C$11:$C$19,MATCH($L65,Settings!$B$11:$B$19,0)),"Yes")="No","CLOSED",IF($M65="",IF($N65="","ON TRACK",IF($N65&lt;TODAY(),"OVERDUE",IF($N65-TODAY()&lt;=Settings!$C$5,"DUE SOON","ON TRACK"))),IF($P65&lt;=TODAY(),"FOLLOW-UP DUE","ON TRACK"))))</f>
        <v/>
      </c>
      <c r="S65" s="35"/>
      <c r="T65" s="35"/>
      <c r="U65" s="38"/>
      <c r="V65" s="34"/>
      <c r="W65" s="35" t="str">
        <f aca="false">IF(OR($R65="OVERDUE",$R65="DUE SOON",$R65="FOLLOW-UP DUE"),MAX(W$3:W64)+1,"")</f>
        <v/>
      </c>
    </row>
    <row r="66" customFormat="false" ht="15" hidden="false" customHeight="false" outlineLevel="0" collapsed="false">
      <c r="A66" s="33" t="str">
        <f aca="false">IF($D66="","","JOB-"&amp;TEXT(ROW()-3,"000"))</f>
        <v/>
      </c>
      <c r="B66" s="34"/>
      <c r="C66" s="35"/>
      <c r="D66" s="35"/>
      <c r="E66" s="35"/>
      <c r="F66" s="35"/>
      <c r="G66" s="33"/>
      <c r="H66" s="35"/>
      <c r="I66" s="35"/>
      <c r="J66" s="35"/>
      <c r="K66" s="33"/>
      <c r="L66" s="33"/>
      <c r="M66" s="34"/>
      <c r="N66" s="34"/>
      <c r="O66" s="34"/>
      <c r="P66" s="34" t="str">
        <f aca="false">IF(OR($D66="",$M66=""),"",IF(IFERROR(INDEX(Settings!$C$11:$C$19,MATCH($L66,Settings!$B$11:$B$19,0)),"Yes")="No","",MAX($M66,$O66)+Settings!$C$6))</f>
        <v/>
      </c>
      <c r="Q66" s="36" t="str">
        <f aca="true">IF($D66="","",IF(IFERROR(INDEX(Settings!$C$11:$C$19,MATCH($L66,Settings!$B$11:$B$19,0)),"Yes")="No","",IF($M66="",IF($N66="","",$N66-TODAY()),IF($P66="","",$P66-TODAY()))))</f>
        <v/>
      </c>
      <c r="R66" s="37" t="str">
        <f aca="true">IF($D66="","",IF(IFERROR(INDEX(Settings!$C$11:$C$19,MATCH($L66,Settings!$B$11:$B$19,0)),"Yes")="No","CLOSED",IF($M66="",IF($N66="","ON TRACK",IF($N66&lt;TODAY(),"OVERDUE",IF($N66-TODAY()&lt;=Settings!$C$5,"DUE SOON","ON TRACK"))),IF($P66&lt;=TODAY(),"FOLLOW-UP DUE","ON TRACK"))))</f>
        <v/>
      </c>
      <c r="S66" s="35"/>
      <c r="T66" s="35"/>
      <c r="U66" s="38"/>
      <c r="V66" s="34"/>
      <c r="W66" s="35" t="str">
        <f aca="false">IF(OR($R66="OVERDUE",$R66="DUE SOON",$R66="FOLLOW-UP DUE"),MAX(W$3:W65)+1,"")</f>
        <v/>
      </c>
    </row>
    <row r="67" customFormat="false" ht="15" hidden="false" customHeight="false" outlineLevel="0" collapsed="false">
      <c r="A67" s="33" t="str">
        <f aca="false">IF($D67="","","JOB-"&amp;TEXT(ROW()-3,"000"))</f>
        <v/>
      </c>
      <c r="B67" s="34"/>
      <c r="C67" s="35"/>
      <c r="D67" s="35"/>
      <c r="E67" s="35"/>
      <c r="F67" s="35"/>
      <c r="G67" s="33"/>
      <c r="H67" s="35"/>
      <c r="I67" s="35"/>
      <c r="J67" s="35"/>
      <c r="K67" s="33"/>
      <c r="L67" s="33"/>
      <c r="M67" s="34"/>
      <c r="N67" s="34"/>
      <c r="O67" s="34"/>
      <c r="P67" s="34" t="str">
        <f aca="false">IF(OR($D67="",$M67=""),"",IF(IFERROR(INDEX(Settings!$C$11:$C$19,MATCH($L67,Settings!$B$11:$B$19,0)),"Yes")="No","",MAX($M67,$O67)+Settings!$C$6))</f>
        <v/>
      </c>
      <c r="Q67" s="36" t="str">
        <f aca="true">IF($D67="","",IF(IFERROR(INDEX(Settings!$C$11:$C$19,MATCH($L67,Settings!$B$11:$B$19,0)),"Yes")="No","",IF($M67="",IF($N67="","",$N67-TODAY()),IF($P67="","",$P67-TODAY()))))</f>
        <v/>
      </c>
      <c r="R67" s="37" t="str">
        <f aca="true">IF($D67="","",IF(IFERROR(INDEX(Settings!$C$11:$C$19,MATCH($L67,Settings!$B$11:$B$19,0)),"Yes")="No","CLOSED",IF($M67="",IF($N67="","ON TRACK",IF($N67&lt;TODAY(),"OVERDUE",IF($N67-TODAY()&lt;=Settings!$C$5,"DUE SOON","ON TRACK"))),IF($P67&lt;=TODAY(),"FOLLOW-UP DUE","ON TRACK"))))</f>
        <v/>
      </c>
      <c r="S67" s="35"/>
      <c r="T67" s="35"/>
      <c r="U67" s="38"/>
      <c r="V67" s="34"/>
      <c r="W67" s="35" t="str">
        <f aca="false">IF(OR($R67="OVERDUE",$R67="DUE SOON",$R67="FOLLOW-UP DUE"),MAX(W$3:W66)+1,"")</f>
        <v/>
      </c>
    </row>
    <row r="68" customFormat="false" ht="15" hidden="false" customHeight="false" outlineLevel="0" collapsed="false">
      <c r="A68" s="33" t="str">
        <f aca="false">IF($D68="","","JOB-"&amp;TEXT(ROW()-3,"000"))</f>
        <v/>
      </c>
      <c r="B68" s="34"/>
      <c r="C68" s="35"/>
      <c r="D68" s="35"/>
      <c r="E68" s="35"/>
      <c r="F68" s="35"/>
      <c r="G68" s="33"/>
      <c r="H68" s="35"/>
      <c r="I68" s="35"/>
      <c r="J68" s="35"/>
      <c r="K68" s="33"/>
      <c r="L68" s="33"/>
      <c r="M68" s="34"/>
      <c r="N68" s="34"/>
      <c r="O68" s="34"/>
      <c r="P68" s="34" t="str">
        <f aca="false">IF(OR($D68="",$M68=""),"",IF(IFERROR(INDEX(Settings!$C$11:$C$19,MATCH($L68,Settings!$B$11:$B$19,0)),"Yes")="No","",MAX($M68,$O68)+Settings!$C$6))</f>
        <v/>
      </c>
      <c r="Q68" s="36" t="str">
        <f aca="true">IF($D68="","",IF(IFERROR(INDEX(Settings!$C$11:$C$19,MATCH($L68,Settings!$B$11:$B$19,0)),"Yes")="No","",IF($M68="",IF($N68="","",$N68-TODAY()),IF($P68="","",$P68-TODAY()))))</f>
        <v/>
      </c>
      <c r="R68" s="37" t="str">
        <f aca="true">IF($D68="","",IF(IFERROR(INDEX(Settings!$C$11:$C$19,MATCH($L68,Settings!$B$11:$B$19,0)),"Yes")="No","CLOSED",IF($M68="",IF($N68="","ON TRACK",IF($N68&lt;TODAY(),"OVERDUE",IF($N68-TODAY()&lt;=Settings!$C$5,"DUE SOON","ON TRACK"))),IF($P68&lt;=TODAY(),"FOLLOW-UP DUE","ON TRACK"))))</f>
        <v/>
      </c>
      <c r="S68" s="35"/>
      <c r="T68" s="35"/>
      <c r="U68" s="38"/>
      <c r="V68" s="34"/>
      <c r="W68" s="35" t="str">
        <f aca="false">IF(OR($R68="OVERDUE",$R68="DUE SOON",$R68="FOLLOW-UP DUE"),MAX(W$3:W67)+1,"")</f>
        <v/>
      </c>
    </row>
    <row r="69" customFormat="false" ht="15" hidden="false" customHeight="false" outlineLevel="0" collapsed="false">
      <c r="A69" s="33" t="str">
        <f aca="false">IF($D69="","","JOB-"&amp;TEXT(ROW()-3,"000"))</f>
        <v/>
      </c>
      <c r="B69" s="34"/>
      <c r="C69" s="35"/>
      <c r="D69" s="35"/>
      <c r="E69" s="35"/>
      <c r="F69" s="35"/>
      <c r="G69" s="33"/>
      <c r="H69" s="35"/>
      <c r="I69" s="35"/>
      <c r="J69" s="35"/>
      <c r="K69" s="33"/>
      <c r="L69" s="33"/>
      <c r="M69" s="34"/>
      <c r="N69" s="34"/>
      <c r="O69" s="34"/>
      <c r="P69" s="34" t="str">
        <f aca="false">IF(OR($D69="",$M69=""),"",IF(IFERROR(INDEX(Settings!$C$11:$C$19,MATCH($L69,Settings!$B$11:$B$19,0)),"Yes")="No","",MAX($M69,$O69)+Settings!$C$6))</f>
        <v/>
      </c>
      <c r="Q69" s="36" t="str">
        <f aca="true">IF($D69="","",IF(IFERROR(INDEX(Settings!$C$11:$C$19,MATCH($L69,Settings!$B$11:$B$19,0)),"Yes")="No","",IF($M69="",IF($N69="","",$N69-TODAY()),IF($P69="","",$P69-TODAY()))))</f>
        <v/>
      </c>
      <c r="R69" s="37" t="str">
        <f aca="true">IF($D69="","",IF(IFERROR(INDEX(Settings!$C$11:$C$19,MATCH($L69,Settings!$B$11:$B$19,0)),"Yes")="No","CLOSED",IF($M69="",IF($N69="","ON TRACK",IF($N69&lt;TODAY(),"OVERDUE",IF($N69-TODAY()&lt;=Settings!$C$5,"DUE SOON","ON TRACK"))),IF($P69&lt;=TODAY(),"FOLLOW-UP DUE","ON TRACK"))))</f>
        <v/>
      </c>
      <c r="S69" s="35"/>
      <c r="T69" s="35"/>
      <c r="U69" s="38"/>
      <c r="V69" s="34"/>
      <c r="W69" s="35" t="str">
        <f aca="false">IF(OR($R69="OVERDUE",$R69="DUE SOON",$R69="FOLLOW-UP DUE"),MAX(W$3:W68)+1,"")</f>
        <v/>
      </c>
    </row>
    <row r="70" customFormat="false" ht="15" hidden="false" customHeight="false" outlineLevel="0" collapsed="false">
      <c r="A70" s="33" t="str">
        <f aca="false">IF($D70="","","JOB-"&amp;TEXT(ROW()-3,"000"))</f>
        <v/>
      </c>
      <c r="B70" s="34"/>
      <c r="C70" s="35"/>
      <c r="D70" s="35"/>
      <c r="E70" s="35"/>
      <c r="F70" s="35"/>
      <c r="G70" s="33"/>
      <c r="H70" s="35"/>
      <c r="I70" s="35"/>
      <c r="J70" s="35"/>
      <c r="K70" s="33"/>
      <c r="L70" s="33"/>
      <c r="M70" s="34"/>
      <c r="N70" s="34"/>
      <c r="O70" s="34"/>
      <c r="P70" s="34" t="str">
        <f aca="false">IF(OR($D70="",$M70=""),"",IF(IFERROR(INDEX(Settings!$C$11:$C$19,MATCH($L70,Settings!$B$11:$B$19,0)),"Yes")="No","",MAX($M70,$O70)+Settings!$C$6))</f>
        <v/>
      </c>
      <c r="Q70" s="36" t="str">
        <f aca="true">IF($D70="","",IF(IFERROR(INDEX(Settings!$C$11:$C$19,MATCH($L70,Settings!$B$11:$B$19,0)),"Yes")="No","",IF($M70="",IF($N70="","",$N70-TODAY()),IF($P70="","",$P70-TODAY()))))</f>
        <v/>
      </c>
      <c r="R70" s="37" t="str">
        <f aca="true">IF($D70="","",IF(IFERROR(INDEX(Settings!$C$11:$C$19,MATCH($L70,Settings!$B$11:$B$19,0)),"Yes")="No","CLOSED",IF($M70="",IF($N70="","ON TRACK",IF($N70&lt;TODAY(),"OVERDUE",IF($N70-TODAY()&lt;=Settings!$C$5,"DUE SOON","ON TRACK"))),IF($P70&lt;=TODAY(),"FOLLOW-UP DUE","ON TRACK"))))</f>
        <v/>
      </c>
      <c r="S70" s="35"/>
      <c r="T70" s="35"/>
      <c r="U70" s="38"/>
      <c r="V70" s="34"/>
      <c r="W70" s="35" t="str">
        <f aca="false">IF(OR($R70="OVERDUE",$R70="DUE SOON",$R70="FOLLOW-UP DUE"),MAX(W$3:W69)+1,"")</f>
        <v/>
      </c>
    </row>
    <row r="71" customFormat="false" ht="15" hidden="false" customHeight="false" outlineLevel="0" collapsed="false">
      <c r="A71" s="33" t="str">
        <f aca="false">IF($D71="","","JOB-"&amp;TEXT(ROW()-3,"000"))</f>
        <v/>
      </c>
      <c r="B71" s="34"/>
      <c r="C71" s="35"/>
      <c r="D71" s="35"/>
      <c r="E71" s="35"/>
      <c r="F71" s="35"/>
      <c r="G71" s="33"/>
      <c r="H71" s="35"/>
      <c r="I71" s="35"/>
      <c r="J71" s="35"/>
      <c r="K71" s="33"/>
      <c r="L71" s="33"/>
      <c r="M71" s="34"/>
      <c r="N71" s="34"/>
      <c r="O71" s="34"/>
      <c r="P71" s="34" t="str">
        <f aca="false">IF(OR($D71="",$M71=""),"",IF(IFERROR(INDEX(Settings!$C$11:$C$19,MATCH($L71,Settings!$B$11:$B$19,0)),"Yes")="No","",MAX($M71,$O71)+Settings!$C$6))</f>
        <v/>
      </c>
      <c r="Q71" s="36" t="str">
        <f aca="true">IF($D71="","",IF(IFERROR(INDEX(Settings!$C$11:$C$19,MATCH($L71,Settings!$B$11:$B$19,0)),"Yes")="No","",IF($M71="",IF($N71="","",$N71-TODAY()),IF($P71="","",$P71-TODAY()))))</f>
        <v/>
      </c>
      <c r="R71" s="37" t="str">
        <f aca="true">IF($D71="","",IF(IFERROR(INDEX(Settings!$C$11:$C$19,MATCH($L71,Settings!$B$11:$B$19,0)),"Yes")="No","CLOSED",IF($M71="",IF($N71="","ON TRACK",IF($N71&lt;TODAY(),"OVERDUE",IF($N71-TODAY()&lt;=Settings!$C$5,"DUE SOON","ON TRACK"))),IF($P71&lt;=TODAY(),"FOLLOW-UP DUE","ON TRACK"))))</f>
        <v/>
      </c>
      <c r="S71" s="35"/>
      <c r="T71" s="35"/>
      <c r="U71" s="38"/>
      <c r="V71" s="34"/>
      <c r="W71" s="35" t="str">
        <f aca="false">IF(OR($R71="OVERDUE",$R71="DUE SOON",$R71="FOLLOW-UP DUE"),MAX(W$3:W70)+1,"")</f>
        <v/>
      </c>
    </row>
    <row r="72" customFormat="false" ht="15" hidden="false" customHeight="false" outlineLevel="0" collapsed="false">
      <c r="A72" s="33" t="str">
        <f aca="false">IF($D72="","","JOB-"&amp;TEXT(ROW()-3,"000"))</f>
        <v/>
      </c>
      <c r="B72" s="34"/>
      <c r="C72" s="35"/>
      <c r="D72" s="35"/>
      <c r="E72" s="35"/>
      <c r="F72" s="35"/>
      <c r="G72" s="33"/>
      <c r="H72" s="35"/>
      <c r="I72" s="35"/>
      <c r="J72" s="35"/>
      <c r="K72" s="33"/>
      <c r="L72" s="33"/>
      <c r="M72" s="34"/>
      <c r="N72" s="34"/>
      <c r="O72" s="34"/>
      <c r="P72" s="34" t="str">
        <f aca="false">IF(OR($D72="",$M72=""),"",IF(IFERROR(INDEX(Settings!$C$11:$C$19,MATCH($L72,Settings!$B$11:$B$19,0)),"Yes")="No","",MAX($M72,$O72)+Settings!$C$6))</f>
        <v/>
      </c>
      <c r="Q72" s="36" t="str">
        <f aca="true">IF($D72="","",IF(IFERROR(INDEX(Settings!$C$11:$C$19,MATCH($L72,Settings!$B$11:$B$19,0)),"Yes")="No","",IF($M72="",IF($N72="","",$N72-TODAY()),IF($P72="","",$P72-TODAY()))))</f>
        <v/>
      </c>
      <c r="R72" s="37" t="str">
        <f aca="true">IF($D72="","",IF(IFERROR(INDEX(Settings!$C$11:$C$19,MATCH($L72,Settings!$B$11:$B$19,0)),"Yes")="No","CLOSED",IF($M72="",IF($N72="","ON TRACK",IF($N72&lt;TODAY(),"OVERDUE",IF($N72-TODAY()&lt;=Settings!$C$5,"DUE SOON","ON TRACK"))),IF($P72&lt;=TODAY(),"FOLLOW-UP DUE","ON TRACK"))))</f>
        <v/>
      </c>
      <c r="S72" s="35"/>
      <c r="T72" s="35"/>
      <c r="U72" s="38"/>
      <c r="V72" s="34"/>
      <c r="W72" s="35" t="str">
        <f aca="false">IF(OR($R72="OVERDUE",$R72="DUE SOON",$R72="FOLLOW-UP DUE"),MAX(W$3:W71)+1,"")</f>
        <v/>
      </c>
    </row>
    <row r="73" customFormat="false" ht="15" hidden="false" customHeight="false" outlineLevel="0" collapsed="false">
      <c r="A73" s="33" t="str">
        <f aca="false">IF($D73="","","JOB-"&amp;TEXT(ROW()-3,"000"))</f>
        <v/>
      </c>
      <c r="B73" s="34"/>
      <c r="C73" s="35"/>
      <c r="D73" s="35"/>
      <c r="E73" s="35"/>
      <c r="F73" s="35"/>
      <c r="G73" s="33"/>
      <c r="H73" s="35"/>
      <c r="I73" s="35"/>
      <c r="J73" s="35"/>
      <c r="K73" s="33"/>
      <c r="L73" s="33"/>
      <c r="M73" s="34"/>
      <c r="N73" s="34"/>
      <c r="O73" s="34"/>
      <c r="P73" s="34" t="str">
        <f aca="false">IF(OR($D73="",$M73=""),"",IF(IFERROR(INDEX(Settings!$C$11:$C$19,MATCH($L73,Settings!$B$11:$B$19,0)),"Yes")="No","",MAX($M73,$O73)+Settings!$C$6))</f>
        <v/>
      </c>
      <c r="Q73" s="36" t="str">
        <f aca="true">IF($D73="","",IF(IFERROR(INDEX(Settings!$C$11:$C$19,MATCH($L73,Settings!$B$11:$B$19,0)),"Yes")="No","",IF($M73="",IF($N73="","",$N73-TODAY()),IF($P73="","",$P73-TODAY()))))</f>
        <v/>
      </c>
      <c r="R73" s="37" t="str">
        <f aca="true">IF($D73="","",IF(IFERROR(INDEX(Settings!$C$11:$C$19,MATCH($L73,Settings!$B$11:$B$19,0)),"Yes")="No","CLOSED",IF($M73="",IF($N73="","ON TRACK",IF($N73&lt;TODAY(),"OVERDUE",IF($N73-TODAY()&lt;=Settings!$C$5,"DUE SOON","ON TRACK"))),IF($P73&lt;=TODAY(),"FOLLOW-UP DUE","ON TRACK"))))</f>
        <v/>
      </c>
      <c r="S73" s="35"/>
      <c r="T73" s="35"/>
      <c r="U73" s="38"/>
      <c r="V73" s="34"/>
      <c r="W73" s="35" t="str">
        <f aca="false">IF(OR($R73="OVERDUE",$R73="DUE SOON",$R73="FOLLOW-UP DUE"),MAX(W$3:W72)+1,"")</f>
        <v/>
      </c>
    </row>
    <row r="74" customFormat="false" ht="15" hidden="false" customHeight="false" outlineLevel="0" collapsed="false">
      <c r="A74" s="33" t="str">
        <f aca="false">IF($D74="","","JOB-"&amp;TEXT(ROW()-3,"000"))</f>
        <v/>
      </c>
      <c r="B74" s="34"/>
      <c r="C74" s="35"/>
      <c r="D74" s="35"/>
      <c r="E74" s="35"/>
      <c r="F74" s="35"/>
      <c r="G74" s="33"/>
      <c r="H74" s="35"/>
      <c r="I74" s="35"/>
      <c r="J74" s="35"/>
      <c r="K74" s="33"/>
      <c r="L74" s="33"/>
      <c r="M74" s="34"/>
      <c r="N74" s="34"/>
      <c r="O74" s="34"/>
      <c r="P74" s="34" t="str">
        <f aca="false">IF(OR($D74="",$M74=""),"",IF(IFERROR(INDEX(Settings!$C$11:$C$19,MATCH($L74,Settings!$B$11:$B$19,0)),"Yes")="No","",MAX($M74,$O74)+Settings!$C$6))</f>
        <v/>
      </c>
      <c r="Q74" s="36" t="str">
        <f aca="true">IF($D74="","",IF(IFERROR(INDEX(Settings!$C$11:$C$19,MATCH($L74,Settings!$B$11:$B$19,0)),"Yes")="No","",IF($M74="",IF($N74="","",$N74-TODAY()),IF($P74="","",$P74-TODAY()))))</f>
        <v/>
      </c>
      <c r="R74" s="37" t="str">
        <f aca="true">IF($D74="","",IF(IFERROR(INDEX(Settings!$C$11:$C$19,MATCH($L74,Settings!$B$11:$B$19,0)),"Yes")="No","CLOSED",IF($M74="",IF($N74="","ON TRACK",IF($N74&lt;TODAY(),"OVERDUE",IF($N74-TODAY()&lt;=Settings!$C$5,"DUE SOON","ON TRACK"))),IF($P74&lt;=TODAY(),"FOLLOW-UP DUE","ON TRACK"))))</f>
        <v/>
      </c>
      <c r="S74" s="35"/>
      <c r="T74" s="35"/>
      <c r="U74" s="38"/>
      <c r="V74" s="34"/>
      <c r="W74" s="35" t="str">
        <f aca="false">IF(OR($R74="OVERDUE",$R74="DUE SOON",$R74="FOLLOW-UP DUE"),MAX(W$3:W73)+1,"")</f>
        <v/>
      </c>
    </row>
    <row r="75" customFormat="false" ht="15" hidden="false" customHeight="false" outlineLevel="0" collapsed="false">
      <c r="A75" s="33" t="str">
        <f aca="false">IF($D75="","","JOB-"&amp;TEXT(ROW()-3,"000"))</f>
        <v/>
      </c>
      <c r="B75" s="34"/>
      <c r="C75" s="35"/>
      <c r="D75" s="35"/>
      <c r="E75" s="35"/>
      <c r="F75" s="35"/>
      <c r="G75" s="33"/>
      <c r="H75" s="35"/>
      <c r="I75" s="35"/>
      <c r="J75" s="35"/>
      <c r="K75" s="33"/>
      <c r="L75" s="33"/>
      <c r="M75" s="34"/>
      <c r="N75" s="34"/>
      <c r="O75" s="34"/>
      <c r="P75" s="34" t="str">
        <f aca="false">IF(OR($D75="",$M75=""),"",IF(IFERROR(INDEX(Settings!$C$11:$C$19,MATCH($L75,Settings!$B$11:$B$19,0)),"Yes")="No","",MAX($M75,$O75)+Settings!$C$6))</f>
        <v/>
      </c>
      <c r="Q75" s="36" t="str">
        <f aca="true">IF($D75="","",IF(IFERROR(INDEX(Settings!$C$11:$C$19,MATCH($L75,Settings!$B$11:$B$19,0)),"Yes")="No","",IF($M75="",IF($N75="","",$N75-TODAY()),IF($P75="","",$P75-TODAY()))))</f>
        <v/>
      </c>
      <c r="R75" s="37" t="str">
        <f aca="true">IF($D75="","",IF(IFERROR(INDEX(Settings!$C$11:$C$19,MATCH($L75,Settings!$B$11:$B$19,0)),"Yes")="No","CLOSED",IF($M75="",IF($N75="","ON TRACK",IF($N75&lt;TODAY(),"OVERDUE",IF($N75-TODAY()&lt;=Settings!$C$5,"DUE SOON","ON TRACK"))),IF($P75&lt;=TODAY(),"FOLLOW-UP DUE","ON TRACK"))))</f>
        <v/>
      </c>
      <c r="S75" s="35"/>
      <c r="T75" s="35"/>
      <c r="U75" s="38"/>
      <c r="V75" s="34"/>
      <c r="W75" s="35" t="str">
        <f aca="false">IF(OR($R75="OVERDUE",$R75="DUE SOON",$R75="FOLLOW-UP DUE"),MAX(W$3:W74)+1,"")</f>
        <v/>
      </c>
    </row>
    <row r="76" customFormat="false" ht="15" hidden="false" customHeight="false" outlineLevel="0" collapsed="false">
      <c r="A76" s="33" t="str">
        <f aca="false">IF($D76="","","JOB-"&amp;TEXT(ROW()-3,"000"))</f>
        <v/>
      </c>
      <c r="B76" s="34"/>
      <c r="C76" s="35"/>
      <c r="D76" s="35"/>
      <c r="E76" s="35"/>
      <c r="F76" s="35"/>
      <c r="G76" s="33"/>
      <c r="H76" s="35"/>
      <c r="I76" s="35"/>
      <c r="J76" s="35"/>
      <c r="K76" s="33"/>
      <c r="L76" s="33"/>
      <c r="M76" s="34"/>
      <c r="N76" s="34"/>
      <c r="O76" s="34"/>
      <c r="P76" s="34" t="str">
        <f aca="false">IF(OR($D76="",$M76=""),"",IF(IFERROR(INDEX(Settings!$C$11:$C$19,MATCH($L76,Settings!$B$11:$B$19,0)),"Yes")="No","",MAX($M76,$O76)+Settings!$C$6))</f>
        <v/>
      </c>
      <c r="Q76" s="36" t="str">
        <f aca="true">IF($D76="","",IF(IFERROR(INDEX(Settings!$C$11:$C$19,MATCH($L76,Settings!$B$11:$B$19,0)),"Yes")="No","",IF($M76="",IF($N76="","",$N76-TODAY()),IF($P76="","",$P76-TODAY()))))</f>
        <v/>
      </c>
      <c r="R76" s="37" t="str">
        <f aca="true">IF($D76="","",IF(IFERROR(INDEX(Settings!$C$11:$C$19,MATCH($L76,Settings!$B$11:$B$19,0)),"Yes")="No","CLOSED",IF($M76="",IF($N76="","ON TRACK",IF($N76&lt;TODAY(),"OVERDUE",IF($N76-TODAY()&lt;=Settings!$C$5,"DUE SOON","ON TRACK"))),IF($P76&lt;=TODAY(),"FOLLOW-UP DUE","ON TRACK"))))</f>
        <v/>
      </c>
      <c r="S76" s="35"/>
      <c r="T76" s="35"/>
      <c r="U76" s="38"/>
      <c r="V76" s="34"/>
      <c r="W76" s="35" t="str">
        <f aca="false">IF(OR($R76="OVERDUE",$R76="DUE SOON",$R76="FOLLOW-UP DUE"),MAX(W$3:W75)+1,"")</f>
        <v/>
      </c>
    </row>
    <row r="77" customFormat="false" ht="15" hidden="false" customHeight="false" outlineLevel="0" collapsed="false">
      <c r="A77" s="33" t="str">
        <f aca="false">IF($D77="","","JOB-"&amp;TEXT(ROW()-3,"000"))</f>
        <v/>
      </c>
      <c r="B77" s="34"/>
      <c r="C77" s="35"/>
      <c r="D77" s="35"/>
      <c r="E77" s="35"/>
      <c r="F77" s="35"/>
      <c r="G77" s="33"/>
      <c r="H77" s="35"/>
      <c r="I77" s="35"/>
      <c r="J77" s="35"/>
      <c r="K77" s="33"/>
      <c r="L77" s="33"/>
      <c r="M77" s="34"/>
      <c r="N77" s="34"/>
      <c r="O77" s="34"/>
      <c r="P77" s="34" t="str">
        <f aca="false">IF(OR($D77="",$M77=""),"",IF(IFERROR(INDEX(Settings!$C$11:$C$19,MATCH($L77,Settings!$B$11:$B$19,0)),"Yes")="No","",MAX($M77,$O77)+Settings!$C$6))</f>
        <v/>
      </c>
      <c r="Q77" s="36" t="str">
        <f aca="true">IF($D77="","",IF(IFERROR(INDEX(Settings!$C$11:$C$19,MATCH($L77,Settings!$B$11:$B$19,0)),"Yes")="No","",IF($M77="",IF($N77="","",$N77-TODAY()),IF($P77="","",$P77-TODAY()))))</f>
        <v/>
      </c>
      <c r="R77" s="37" t="str">
        <f aca="true">IF($D77="","",IF(IFERROR(INDEX(Settings!$C$11:$C$19,MATCH($L77,Settings!$B$11:$B$19,0)),"Yes")="No","CLOSED",IF($M77="",IF($N77="","ON TRACK",IF($N77&lt;TODAY(),"OVERDUE",IF($N77-TODAY()&lt;=Settings!$C$5,"DUE SOON","ON TRACK"))),IF($P77&lt;=TODAY(),"FOLLOW-UP DUE","ON TRACK"))))</f>
        <v/>
      </c>
      <c r="S77" s="35"/>
      <c r="T77" s="35"/>
      <c r="U77" s="38"/>
      <c r="V77" s="34"/>
      <c r="W77" s="35" t="str">
        <f aca="false">IF(OR($R77="OVERDUE",$R77="DUE SOON",$R77="FOLLOW-UP DUE"),MAX(W$3:W76)+1,"")</f>
        <v/>
      </c>
    </row>
    <row r="78" customFormat="false" ht="15" hidden="false" customHeight="false" outlineLevel="0" collapsed="false">
      <c r="A78" s="33" t="str">
        <f aca="false">IF($D78="","","JOB-"&amp;TEXT(ROW()-3,"000"))</f>
        <v/>
      </c>
      <c r="B78" s="34"/>
      <c r="C78" s="35"/>
      <c r="D78" s="35"/>
      <c r="E78" s="35"/>
      <c r="F78" s="35"/>
      <c r="G78" s="33"/>
      <c r="H78" s="35"/>
      <c r="I78" s="35"/>
      <c r="J78" s="35"/>
      <c r="K78" s="33"/>
      <c r="L78" s="33"/>
      <c r="M78" s="34"/>
      <c r="N78" s="34"/>
      <c r="O78" s="34"/>
      <c r="P78" s="34" t="str">
        <f aca="false">IF(OR($D78="",$M78=""),"",IF(IFERROR(INDEX(Settings!$C$11:$C$19,MATCH($L78,Settings!$B$11:$B$19,0)),"Yes")="No","",MAX($M78,$O78)+Settings!$C$6))</f>
        <v/>
      </c>
      <c r="Q78" s="36" t="str">
        <f aca="true">IF($D78="","",IF(IFERROR(INDEX(Settings!$C$11:$C$19,MATCH($L78,Settings!$B$11:$B$19,0)),"Yes")="No","",IF($M78="",IF($N78="","",$N78-TODAY()),IF($P78="","",$P78-TODAY()))))</f>
        <v/>
      </c>
      <c r="R78" s="37" t="str">
        <f aca="true">IF($D78="","",IF(IFERROR(INDEX(Settings!$C$11:$C$19,MATCH($L78,Settings!$B$11:$B$19,0)),"Yes")="No","CLOSED",IF($M78="",IF($N78="","ON TRACK",IF($N78&lt;TODAY(),"OVERDUE",IF($N78-TODAY()&lt;=Settings!$C$5,"DUE SOON","ON TRACK"))),IF($P78&lt;=TODAY(),"FOLLOW-UP DUE","ON TRACK"))))</f>
        <v/>
      </c>
      <c r="S78" s="35"/>
      <c r="T78" s="35"/>
      <c r="U78" s="38"/>
      <c r="V78" s="34"/>
      <c r="W78" s="35" t="str">
        <f aca="false">IF(OR($R78="OVERDUE",$R78="DUE SOON",$R78="FOLLOW-UP DUE"),MAX(W$3:W77)+1,"")</f>
        <v/>
      </c>
    </row>
    <row r="79" customFormat="false" ht="15" hidden="false" customHeight="false" outlineLevel="0" collapsed="false">
      <c r="A79" s="33" t="str">
        <f aca="false">IF($D79="","","JOB-"&amp;TEXT(ROW()-3,"000"))</f>
        <v/>
      </c>
      <c r="B79" s="34"/>
      <c r="C79" s="35"/>
      <c r="D79" s="35"/>
      <c r="E79" s="35"/>
      <c r="F79" s="35"/>
      <c r="G79" s="33"/>
      <c r="H79" s="35"/>
      <c r="I79" s="35"/>
      <c r="J79" s="35"/>
      <c r="K79" s="33"/>
      <c r="L79" s="33"/>
      <c r="M79" s="34"/>
      <c r="N79" s="34"/>
      <c r="O79" s="34"/>
      <c r="P79" s="34" t="str">
        <f aca="false">IF(OR($D79="",$M79=""),"",IF(IFERROR(INDEX(Settings!$C$11:$C$19,MATCH($L79,Settings!$B$11:$B$19,0)),"Yes")="No","",MAX($M79,$O79)+Settings!$C$6))</f>
        <v/>
      </c>
      <c r="Q79" s="36" t="str">
        <f aca="true">IF($D79="","",IF(IFERROR(INDEX(Settings!$C$11:$C$19,MATCH($L79,Settings!$B$11:$B$19,0)),"Yes")="No","",IF($M79="",IF($N79="","",$N79-TODAY()),IF($P79="","",$P79-TODAY()))))</f>
        <v/>
      </c>
      <c r="R79" s="37" t="str">
        <f aca="true">IF($D79="","",IF(IFERROR(INDEX(Settings!$C$11:$C$19,MATCH($L79,Settings!$B$11:$B$19,0)),"Yes")="No","CLOSED",IF($M79="",IF($N79="","ON TRACK",IF($N79&lt;TODAY(),"OVERDUE",IF($N79-TODAY()&lt;=Settings!$C$5,"DUE SOON","ON TRACK"))),IF($P79&lt;=TODAY(),"FOLLOW-UP DUE","ON TRACK"))))</f>
        <v/>
      </c>
      <c r="S79" s="35"/>
      <c r="T79" s="35"/>
      <c r="U79" s="38"/>
      <c r="V79" s="34"/>
      <c r="W79" s="35" t="str">
        <f aca="false">IF(OR($R79="OVERDUE",$R79="DUE SOON",$R79="FOLLOW-UP DUE"),MAX(W$3:W78)+1,"")</f>
        <v/>
      </c>
    </row>
    <row r="80" customFormat="false" ht="15" hidden="false" customHeight="false" outlineLevel="0" collapsed="false">
      <c r="A80" s="33" t="str">
        <f aca="false">IF($D80="","","JOB-"&amp;TEXT(ROW()-3,"000"))</f>
        <v/>
      </c>
      <c r="B80" s="34"/>
      <c r="C80" s="35"/>
      <c r="D80" s="35"/>
      <c r="E80" s="35"/>
      <c r="F80" s="35"/>
      <c r="G80" s="33"/>
      <c r="H80" s="35"/>
      <c r="I80" s="35"/>
      <c r="J80" s="35"/>
      <c r="K80" s="33"/>
      <c r="L80" s="33"/>
      <c r="M80" s="34"/>
      <c r="N80" s="34"/>
      <c r="O80" s="34"/>
      <c r="P80" s="34" t="str">
        <f aca="false">IF(OR($D80="",$M80=""),"",IF(IFERROR(INDEX(Settings!$C$11:$C$19,MATCH($L80,Settings!$B$11:$B$19,0)),"Yes")="No","",MAX($M80,$O80)+Settings!$C$6))</f>
        <v/>
      </c>
      <c r="Q80" s="36" t="str">
        <f aca="true">IF($D80="","",IF(IFERROR(INDEX(Settings!$C$11:$C$19,MATCH($L80,Settings!$B$11:$B$19,0)),"Yes")="No","",IF($M80="",IF($N80="","",$N80-TODAY()),IF($P80="","",$P80-TODAY()))))</f>
        <v/>
      </c>
      <c r="R80" s="37" t="str">
        <f aca="true">IF($D80="","",IF(IFERROR(INDEX(Settings!$C$11:$C$19,MATCH($L80,Settings!$B$11:$B$19,0)),"Yes")="No","CLOSED",IF($M80="",IF($N80="","ON TRACK",IF($N80&lt;TODAY(),"OVERDUE",IF($N80-TODAY()&lt;=Settings!$C$5,"DUE SOON","ON TRACK"))),IF($P80&lt;=TODAY(),"FOLLOW-UP DUE","ON TRACK"))))</f>
        <v/>
      </c>
      <c r="S80" s="35"/>
      <c r="T80" s="35"/>
      <c r="U80" s="38"/>
      <c r="V80" s="34"/>
      <c r="W80" s="35" t="str">
        <f aca="false">IF(OR($R80="OVERDUE",$R80="DUE SOON",$R80="FOLLOW-UP DUE"),MAX(W$3:W79)+1,"")</f>
        <v/>
      </c>
    </row>
    <row r="81" customFormat="false" ht="15" hidden="false" customHeight="false" outlineLevel="0" collapsed="false">
      <c r="A81" s="33" t="str">
        <f aca="false">IF($D81="","","JOB-"&amp;TEXT(ROW()-3,"000"))</f>
        <v/>
      </c>
      <c r="B81" s="34"/>
      <c r="C81" s="35"/>
      <c r="D81" s="35"/>
      <c r="E81" s="35"/>
      <c r="F81" s="35"/>
      <c r="G81" s="33"/>
      <c r="H81" s="35"/>
      <c r="I81" s="35"/>
      <c r="J81" s="35"/>
      <c r="K81" s="33"/>
      <c r="L81" s="33"/>
      <c r="M81" s="34"/>
      <c r="N81" s="34"/>
      <c r="O81" s="34"/>
      <c r="P81" s="34" t="str">
        <f aca="false">IF(OR($D81="",$M81=""),"",IF(IFERROR(INDEX(Settings!$C$11:$C$19,MATCH($L81,Settings!$B$11:$B$19,0)),"Yes")="No","",MAX($M81,$O81)+Settings!$C$6))</f>
        <v/>
      </c>
      <c r="Q81" s="36" t="str">
        <f aca="true">IF($D81="","",IF(IFERROR(INDEX(Settings!$C$11:$C$19,MATCH($L81,Settings!$B$11:$B$19,0)),"Yes")="No","",IF($M81="",IF($N81="","",$N81-TODAY()),IF($P81="","",$P81-TODAY()))))</f>
        <v/>
      </c>
      <c r="R81" s="37" t="str">
        <f aca="true">IF($D81="","",IF(IFERROR(INDEX(Settings!$C$11:$C$19,MATCH($L81,Settings!$B$11:$B$19,0)),"Yes")="No","CLOSED",IF($M81="",IF($N81="","ON TRACK",IF($N81&lt;TODAY(),"OVERDUE",IF($N81-TODAY()&lt;=Settings!$C$5,"DUE SOON","ON TRACK"))),IF($P81&lt;=TODAY(),"FOLLOW-UP DUE","ON TRACK"))))</f>
        <v/>
      </c>
      <c r="S81" s="35"/>
      <c r="T81" s="35"/>
      <c r="U81" s="38"/>
      <c r="V81" s="34"/>
      <c r="W81" s="35" t="str">
        <f aca="false">IF(OR($R81="OVERDUE",$R81="DUE SOON",$R81="FOLLOW-UP DUE"),MAX(W$3:W80)+1,"")</f>
        <v/>
      </c>
    </row>
    <row r="82" customFormat="false" ht="15" hidden="false" customHeight="false" outlineLevel="0" collapsed="false">
      <c r="A82" s="33" t="str">
        <f aca="false">IF($D82="","","JOB-"&amp;TEXT(ROW()-3,"000"))</f>
        <v/>
      </c>
      <c r="B82" s="34"/>
      <c r="C82" s="35"/>
      <c r="D82" s="35"/>
      <c r="E82" s="35"/>
      <c r="F82" s="35"/>
      <c r="G82" s="33"/>
      <c r="H82" s="35"/>
      <c r="I82" s="35"/>
      <c r="J82" s="35"/>
      <c r="K82" s="33"/>
      <c r="L82" s="33"/>
      <c r="M82" s="34"/>
      <c r="N82" s="34"/>
      <c r="O82" s="34"/>
      <c r="P82" s="34" t="str">
        <f aca="false">IF(OR($D82="",$M82=""),"",IF(IFERROR(INDEX(Settings!$C$11:$C$19,MATCH($L82,Settings!$B$11:$B$19,0)),"Yes")="No","",MAX($M82,$O82)+Settings!$C$6))</f>
        <v/>
      </c>
      <c r="Q82" s="36" t="str">
        <f aca="true">IF($D82="","",IF(IFERROR(INDEX(Settings!$C$11:$C$19,MATCH($L82,Settings!$B$11:$B$19,0)),"Yes")="No","",IF($M82="",IF($N82="","",$N82-TODAY()),IF($P82="","",$P82-TODAY()))))</f>
        <v/>
      </c>
      <c r="R82" s="37" t="str">
        <f aca="true">IF($D82="","",IF(IFERROR(INDEX(Settings!$C$11:$C$19,MATCH($L82,Settings!$B$11:$B$19,0)),"Yes")="No","CLOSED",IF($M82="",IF($N82="","ON TRACK",IF($N82&lt;TODAY(),"OVERDUE",IF($N82-TODAY()&lt;=Settings!$C$5,"DUE SOON","ON TRACK"))),IF($P82&lt;=TODAY(),"FOLLOW-UP DUE","ON TRACK"))))</f>
        <v/>
      </c>
      <c r="S82" s="35"/>
      <c r="T82" s="35"/>
      <c r="U82" s="38"/>
      <c r="V82" s="34"/>
      <c r="W82" s="35" t="str">
        <f aca="false">IF(OR($R82="OVERDUE",$R82="DUE SOON",$R82="FOLLOW-UP DUE"),MAX(W$3:W81)+1,"")</f>
        <v/>
      </c>
    </row>
    <row r="83" customFormat="false" ht="15" hidden="false" customHeight="false" outlineLevel="0" collapsed="false">
      <c r="A83" s="33" t="str">
        <f aca="false">IF($D83="","","JOB-"&amp;TEXT(ROW()-3,"000"))</f>
        <v/>
      </c>
      <c r="B83" s="34"/>
      <c r="C83" s="35"/>
      <c r="D83" s="35"/>
      <c r="E83" s="35"/>
      <c r="F83" s="35"/>
      <c r="G83" s="33"/>
      <c r="H83" s="35"/>
      <c r="I83" s="35"/>
      <c r="J83" s="35"/>
      <c r="K83" s="33"/>
      <c r="L83" s="33"/>
      <c r="M83" s="34"/>
      <c r="N83" s="34"/>
      <c r="O83" s="34"/>
      <c r="P83" s="34" t="str">
        <f aca="false">IF(OR($D83="",$M83=""),"",IF(IFERROR(INDEX(Settings!$C$11:$C$19,MATCH($L83,Settings!$B$11:$B$19,0)),"Yes")="No","",MAX($M83,$O83)+Settings!$C$6))</f>
        <v/>
      </c>
      <c r="Q83" s="36" t="str">
        <f aca="true">IF($D83="","",IF(IFERROR(INDEX(Settings!$C$11:$C$19,MATCH($L83,Settings!$B$11:$B$19,0)),"Yes")="No","",IF($M83="",IF($N83="","",$N83-TODAY()),IF($P83="","",$P83-TODAY()))))</f>
        <v/>
      </c>
      <c r="R83" s="37" t="str">
        <f aca="true">IF($D83="","",IF(IFERROR(INDEX(Settings!$C$11:$C$19,MATCH($L83,Settings!$B$11:$B$19,0)),"Yes")="No","CLOSED",IF($M83="",IF($N83="","ON TRACK",IF($N83&lt;TODAY(),"OVERDUE",IF($N83-TODAY()&lt;=Settings!$C$5,"DUE SOON","ON TRACK"))),IF($P83&lt;=TODAY(),"FOLLOW-UP DUE","ON TRACK"))))</f>
        <v/>
      </c>
      <c r="S83" s="35"/>
      <c r="T83" s="35"/>
      <c r="U83" s="38"/>
      <c r="V83" s="34"/>
      <c r="W83" s="35" t="str">
        <f aca="false">IF(OR($R83="OVERDUE",$R83="DUE SOON",$R83="FOLLOW-UP DUE"),MAX(W$3:W82)+1,"")</f>
        <v/>
      </c>
    </row>
    <row r="84" customFormat="false" ht="15" hidden="false" customHeight="false" outlineLevel="0" collapsed="false">
      <c r="A84" s="33" t="str">
        <f aca="false">IF($D84="","","JOB-"&amp;TEXT(ROW()-3,"000"))</f>
        <v/>
      </c>
      <c r="B84" s="34"/>
      <c r="C84" s="35"/>
      <c r="D84" s="35"/>
      <c r="E84" s="35"/>
      <c r="F84" s="35"/>
      <c r="G84" s="33"/>
      <c r="H84" s="35"/>
      <c r="I84" s="35"/>
      <c r="J84" s="35"/>
      <c r="K84" s="33"/>
      <c r="L84" s="33"/>
      <c r="M84" s="34"/>
      <c r="N84" s="34"/>
      <c r="O84" s="34"/>
      <c r="P84" s="34" t="str">
        <f aca="false">IF(OR($D84="",$M84=""),"",IF(IFERROR(INDEX(Settings!$C$11:$C$19,MATCH($L84,Settings!$B$11:$B$19,0)),"Yes")="No","",MAX($M84,$O84)+Settings!$C$6))</f>
        <v/>
      </c>
      <c r="Q84" s="36" t="str">
        <f aca="true">IF($D84="","",IF(IFERROR(INDEX(Settings!$C$11:$C$19,MATCH($L84,Settings!$B$11:$B$19,0)),"Yes")="No","",IF($M84="",IF($N84="","",$N84-TODAY()),IF($P84="","",$P84-TODAY()))))</f>
        <v/>
      </c>
      <c r="R84" s="37" t="str">
        <f aca="true">IF($D84="","",IF(IFERROR(INDEX(Settings!$C$11:$C$19,MATCH($L84,Settings!$B$11:$B$19,0)),"Yes")="No","CLOSED",IF($M84="",IF($N84="","ON TRACK",IF($N84&lt;TODAY(),"OVERDUE",IF($N84-TODAY()&lt;=Settings!$C$5,"DUE SOON","ON TRACK"))),IF($P84&lt;=TODAY(),"FOLLOW-UP DUE","ON TRACK"))))</f>
        <v/>
      </c>
      <c r="S84" s="35"/>
      <c r="T84" s="35"/>
      <c r="U84" s="38"/>
      <c r="V84" s="34"/>
      <c r="W84" s="35" t="str">
        <f aca="false">IF(OR($R84="OVERDUE",$R84="DUE SOON",$R84="FOLLOW-UP DUE"),MAX(W$3:W83)+1,"")</f>
        <v/>
      </c>
    </row>
    <row r="85" customFormat="false" ht="15" hidden="false" customHeight="false" outlineLevel="0" collapsed="false">
      <c r="A85" s="33" t="str">
        <f aca="false">IF($D85="","","JOB-"&amp;TEXT(ROW()-3,"000"))</f>
        <v/>
      </c>
      <c r="B85" s="34"/>
      <c r="C85" s="35"/>
      <c r="D85" s="35"/>
      <c r="E85" s="35"/>
      <c r="F85" s="35"/>
      <c r="G85" s="33"/>
      <c r="H85" s="35"/>
      <c r="I85" s="35"/>
      <c r="J85" s="35"/>
      <c r="K85" s="33"/>
      <c r="L85" s="33"/>
      <c r="M85" s="34"/>
      <c r="N85" s="34"/>
      <c r="O85" s="34"/>
      <c r="P85" s="34" t="str">
        <f aca="false">IF(OR($D85="",$M85=""),"",IF(IFERROR(INDEX(Settings!$C$11:$C$19,MATCH($L85,Settings!$B$11:$B$19,0)),"Yes")="No","",MAX($M85,$O85)+Settings!$C$6))</f>
        <v/>
      </c>
      <c r="Q85" s="36" t="str">
        <f aca="true">IF($D85="","",IF(IFERROR(INDEX(Settings!$C$11:$C$19,MATCH($L85,Settings!$B$11:$B$19,0)),"Yes")="No","",IF($M85="",IF($N85="","",$N85-TODAY()),IF($P85="","",$P85-TODAY()))))</f>
        <v/>
      </c>
      <c r="R85" s="37" t="str">
        <f aca="true">IF($D85="","",IF(IFERROR(INDEX(Settings!$C$11:$C$19,MATCH($L85,Settings!$B$11:$B$19,0)),"Yes")="No","CLOSED",IF($M85="",IF($N85="","ON TRACK",IF($N85&lt;TODAY(),"OVERDUE",IF($N85-TODAY()&lt;=Settings!$C$5,"DUE SOON","ON TRACK"))),IF($P85&lt;=TODAY(),"FOLLOW-UP DUE","ON TRACK"))))</f>
        <v/>
      </c>
      <c r="S85" s="35"/>
      <c r="T85" s="35"/>
      <c r="U85" s="38"/>
      <c r="V85" s="34"/>
      <c r="W85" s="35" t="str">
        <f aca="false">IF(OR($R85="OVERDUE",$R85="DUE SOON",$R85="FOLLOW-UP DUE"),MAX(W$3:W84)+1,"")</f>
        <v/>
      </c>
    </row>
    <row r="86" customFormat="false" ht="15" hidden="false" customHeight="false" outlineLevel="0" collapsed="false">
      <c r="A86" s="33" t="str">
        <f aca="false">IF($D86="","","JOB-"&amp;TEXT(ROW()-3,"000"))</f>
        <v/>
      </c>
      <c r="B86" s="34"/>
      <c r="C86" s="35"/>
      <c r="D86" s="35"/>
      <c r="E86" s="35"/>
      <c r="F86" s="35"/>
      <c r="G86" s="33"/>
      <c r="H86" s="35"/>
      <c r="I86" s="35"/>
      <c r="J86" s="35"/>
      <c r="K86" s="33"/>
      <c r="L86" s="33"/>
      <c r="M86" s="34"/>
      <c r="N86" s="34"/>
      <c r="O86" s="34"/>
      <c r="P86" s="34" t="str">
        <f aca="false">IF(OR($D86="",$M86=""),"",IF(IFERROR(INDEX(Settings!$C$11:$C$19,MATCH($L86,Settings!$B$11:$B$19,0)),"Yes")="No","",MAX($M86,$O86)+Settings!$C$6))</f>
        <v/>
      </c>
      <c r="Q86" s="36" t="str">
        <f aca="true">IF($D86="","",IF(IFERROR(INDEX(Settings!$C$11:$C$19,MATCH($L86,Settings!$B$11:$B$19,0)),"Yes")="No","",IF($M86="",IF($N86="","",$N86-TODAY()),IF($P86="","",$P86-TODAY()))))</f>
        <v/>
      </c>
      <c r="R86" s="37" t="str">
        <f aca="true">IF($D86="","",IF(IFERROR(INDEX(Settings!$C$11:$C$19,MATCH($L86,Settings!$B$11:$B$19,0)),"Yes")="No","CLOSED",IF($M86="",IF($N86="","ON TRACK",IF($N86&lt;TODAY(),"OVERDUE",IF($N86-TODAY()&lt;=Settings!$C$5,"DUE SOON","ON TRACK"))),IF($P86&lt;=TODAY(),"FOLLOW-UP DUE","ON TRACK"))))</f>
        <v/>
      </c>
      <c r="S86" s="35"/>
      <c r="T86" s="35"/>
      <c r="U86" s="38"/>
      <c r="V86" s="34"/>
      <c r="W86" s="35" t="str">
        <f aca="false">IF(OR($R86="OVERDUE",$R86="DUE SOON",$R86="FOLLOW-UP DUE"),MAX(W$3:W85)+1,"")</f>
        <v/>
      </c>
    </row>
    <row r="87" customFormat="false" ht="15" hidden="false" customHeight="false" outlineLevel="0" collapsed="false">
      <c r="A87" s="33" t="str">
        <f aca="false">IF($D87="","","JOB-"&amp;TEXT(ROW()-3,"000"))</f>
        <v/>
      </c>
      <c r="B87" s="34"/>
      <c r="C87" s="35"/>
      <c r="D87" s="35"/>
      <c r="E87" s="35"/>
      <c r="F87" s="35"/>
      <c r="G87" s="33"/>
      <c r="H87" s="35"/>
      <c r="I87" s="35"/>
      <c r="J87" s="35"/>
      <c r="K87" s="33"/>
      <c r="L87" s="33"/>
      <c r="M87" s="34"/>
      <c r="N87" s="34"/>
      <c r="O87" s="34"/>
      <c r="P87" s="34" t="str">
        <f aca="false">IF(OR($D87="",$M87=""),"",IF(IFERROR(INDEX(Settings!$C$11:$C$19,MATCH($L87,Settings!$B$11:$B$19,0)),"Yes")="No","",MAX($M87,$O87)+Settings!$C$6))</f>
        <v/>
      </c>
      <c r="Q87" s="36" t="str">
        <f aca="true">IF($D87="","",IF(IFERROR(INDEX(Settings!$C$11:$C$19,MATCH($L87,Settings!$B$11:$B$19,0)),"Yes")="No","",IF($M87="",IF($N87="","",$N87-TODAY()),IF($P87="","",$P87-TODAY()))))</f>
        <v/>
      </c>
      <c r="R87" s="37" t="str">
        <f aca="true">IF($D87="","",IF(IFERROR(INDEX(Settings!$C$11:$C$19,MATCH($L87,Settings!$B$11:$B$19,0)),"Yes")="No","CLOSED",IF($M87="",IF($N87="","ON TRACK",IF($N87&lt;TODAY(),"OVERDUE",IF($N87-TODAY()&lt;=Settings!$C$5,"DUE SOON","ON TRACK"))),IF($P87&lt;=TODAY(),"FOLLOW-UP DUE","ON TRACK"))))</f>
        <v/>
      </c>
      <c r="S87" s="35"/>
      <c r="T87" s="35"/>
      <c r="U87" s="38"/>
      <c r="V87" s="34"/>
      <c r="W87" s="35" t="str">
        <f aca="false">IF(OR($R87="OVERDUE",$R87="DUE SOON",$R87="FOLLOW-UP DUE"),MAX(W$3:W86)+1,"")</f>
        <v/>
      </c>
    </row>
    <row r="88" customFormat="false" ht="15" hidden="false" customHeight="false" outlineLevel="0" collapsed="false">
      <c r="A88" s="33" t="str">
        <f aca="false">IF($D88="","","JOB-"&amp;TEXT(ROW()-3,"000"))</f>
        <v/>
      </c>
      <c r="B88" s="34"/>
      <c r="C88" s="35"/>
      <c r="D88" s="35"/>
      <c r="E88" s="35"/>
      <c r="F88" s="35"/>
      <c r="G88" s="33"/>
      <c r="H88" s="35"/>
      <c r="I88" s="35"/>
      <c r="J88" s="35"/>
      <c r="K88" s="33"/>
      <c r="L88" s="33"/>
      <c r="M88" s="34"/>
      <c r="N88" s="34"/>
      <c r="O88" s="34"/>
      <c r="P88" s="34" t="str">
        <f aca="false">IF(OR($D88="",$M88=""),"",IF(IFERROR(INDEX(Settings!$C$11:$C$19,MATCH($L88,Settings!$B$11:$B$19,0)),"Yes")="No","",MAX($M88,$O88)+Settings!$C$6))</f>
        <v/>
      </c>
      <c r="Q88" s="36" t="str">
        <f aca="true">IF($D88="","",IF(IFERROR(INDEX(Settings!$C$11:$C$19,MATCH($L88,Settings!$B$11:$B$19,0)),"Yes")="No","",IF($M88="",IF($N88="","",$N88-TODAY()),IF($P88="","",$P88-TODAY()))))</f>
        <v/>
      </c>
      <c r="R88" s="37" t="str">
        <f aca="true">IF($D88="","",IF(IFERROR(INDEX(Settings!$C$11:$C$19,MATCH($L88,Settings!$B$11:$B$19,0)),"Yes")="No","CLOSED",IF($M88="",IF($N88="","ON TRACK",IF($N88&lt;TODAY(),"OVERDUE",IF($N88-TODAY()&lt;=Settings!$C$5,"DUE SOON","ON TRACK"))),IF($P88&lt;=TODAY(),"FOLLOW-UP DUE","ON TRACK"))))</f>
        <v/>
      </c>
      <c r="S88" s="35"/>
      <c r="T88" s="35"/>
      <c r="U88" s="38"/>
      <c r="V88" s="34"/>
      <c r="W88" s="35" t="str">
        <f aca="false">IF(OR($R88="OVERDUE",$R88="DUE SOON",$R88="FOLLOW-UP DUE"),MAX(W$3:W87)+1,"")</f>
        <v/>
      </c>
    </row>
    <row r="89" customFormat="false" ht="15" hidden="false" customHeight="false" outlineLevel="0" collapsed="false">
      <c r="A89" s="33" t="str">
        <f aca="false">IF($D89="","","JOB-"&amp;TEXT(ROW()-3,"000"))</f>
        <v/>
      </c>
      <c r="B89" s="34"/>
      <c r="C89" s="35"/>
      <c r="D89" s="35"/>
      <c r="E89" s="35"/>
      <c r="F89" s="35"/>
      <c r="G89" s="33"/>
      <c r="H89" s="35"/>
      <c r="I89" s="35"/>
      <c r="J89" s="35"/>
      <c r="K89" s="33"/>
      <c r="L89" s="33"/>
      <c r="M89" s="34"/>
      <c r="N89" s="34"/>
      <c r="O89" s="34"/>
      <c r="P89" s="34" t="str">
        <f aca="false">IF(OR($D89="",$M89=""),"",IF(IFERROR(INDEX(Settings!$C$11:$C$19,MATCH($L89,Settings!$B$11:$B$19,0)),"Yes")="No","",MAX($M89,$O89)+Settings!$C$6))</f>
        <v/>
      </c>
      <c r="Q89" s="36" t="str">
        <f aca="true">IF($D89="","",IF(IFERROR(INDEX(Settings!$C$11:$C$19,MATCH($L89,Settings!$B$11:$B$19,0)),"Yes")="No","",IF($M89="",IF($N89="","",$N89-TODAY()),IF($P89="","",$P89-TODAY()))))</f>
        <v/>
      </c>
      <c r="R89" s="37" t="str">
        <f aca="true">IF($D89="","",IF(IFERROR(INDEX(Settings!$C$11:$C$19,MATCH($L89,Settings!$B$11:$B$19,0)),"Yes")="No","CLOSED",IF($M89="",IF($N89="","ON TRACK",IF($N89&lt;TODAY(),"OVERDUE",IF($N89-TODAY()&lt;=Settings!$C$5,"DUE SOON","ON TRACK"))),IF($P89&lt;=TODAY(),"FOLLOW-UP DUE","ON TRACK"))))</f>
        <v/>
      </c>
      <c r="S89" s="35"/>
      <c r="T89" s="35"/>
      <c r="U89" s="38"/>
      <c r="V89" s="34"/>
      <c r="W89" s="35" t="str">
        <f aca="false">IF(OR($R89="OVERDUE",$R89="DUE SOON",$R89="FOLLOW-UP DUE"),MAX(W$3:W88)+1,"")</f>
        <v/>
      </c>
    </row>
    <row r="90" customFormat="false" ht="15" hidden="false" customHeight="false" outlineLevel="0" collapsed="false">
      <c r="A90" s="33" t="str">
        <f aca="false">IF($D90="","","JOB-"&amp;TEXT(ROW()-3,"000"))</f>
        <v/>
      </c>
      <c r="B90" s="34"/>
      <c r="C90" s="35"/>
      <c r="D90" s="35"/>
      <c r="E90" s="35"/>
      <c r="F90" s="35"/>
      <c r="G90" s="33"/>
      <c r="H90" s="35"/>
      <c r="I90" s="35"/>
      <c r="J90" s="35"/>
      <c r="K90" s="33"/>
      <c r="L90" s="33"/>
      <c r="M90" s="34"/>
      <c r="N90" s="34"/>
      <c r="O90" s="34"/>
      <c r="P90" s="34" t="str">
        <f aca="false">IF(OR($D90="",$M90=""),"",IF(IFERROR(INDEX(Settings!$C$11:$C$19,MATCH($L90,Settings!$B$11:$B$19,0)),"Yes")="No","",MAX($M90,$O90)+Settings!$C$6))</f>
        <v/>
      </c>
      <c r="Q90" s="36" t="str">
        <f aca="true">IF($D90="","",IF(IFERROR(INDEX(Settings!$C$11:$C$19,MATCH($L90,Settings!$B$11:$B$19,0)),"Yes")="No","",IF($M90="",IF($N90="","",$N90-TODAY()),IF($P90="","",$P90-TODAY()))))</f>
        <v/>
      </c>
      <c r="R90" s="37" t="str">
        <f aca="true">IF($D90="","",IF(IFERROR(INDEX(Settings!$C$11:$C$19,MATCH($L90,Settings!$B$11:$B$19,0)),"Yes")="No","CLOSED",IF($M90="",IF($N90="","ON TRACK",IF($N90&lt;TODAY(),"OVERDUE",IF($N90-TODAY()&lt;=Settings!$C$5,"DUE SOON","ON TRACK"))),IF($P90&lt;=TODAY(),"FOLLOW-UP DUE","ON TRACK"))))</f>
        <v/>
      </c>
      <c r="S90" s="35"/>
      <c r="T90" s="35"/>
      <c r="U90" s="38"/>
      <c r="V90" s="34"/>
      <c r="W90" s="35" t="str">
        <f aca="false">IF(OR($R90="OVERDUE",$R90="DUE SOON",$R90="FOLLOW-UP DUE"),MAX(W$3:W89)+1,"")</f>
        <v/>
      </c>
    </row>
    <row r="91" customFormat="false" ht="15" hidden="false" customHeight="false" outlineLevel="0" collapsed="false">
      <c r="A91" s="33" t="str">
        <f aca="false">IF($D91="","","JOB-"&amp;TEXT(ROW()-3,"000"))</f>
        <v/>
      </c>
      <c r="B91" s="34"/>
      <c r="C91" s="35"/>
      <c r="D91" s="35"/>
      <c r="E91" s="35"/>
      <c r="F91" s="35"/>
      <c r="G91" s="33"/>
      <c r="H91" s="35"/>
      <c r="I91" s="35"/>
      <c r="J91" s="35"/>
      <c r="K91" s="33"/>
      <c r="L91" s="33"/>
      <c r="M91" s="34"/>
      <c r="N91" s="34"/>
      <c r="O91" s="34"/>
      <c r="P91" s="34" t="str">
        <f aca="false">IF(OR($D91="",$M91=""),"",IF(IFERROR(INDEX(Settings!$C$11:$C$19,MATCH($L91,Settings!$B$11:$B$19,0)),"Yes")="No","",MAX($M91,$O91)+Settings!$C$6))</f>
        <v/>
      </c>
      <c r="Q91" s="36" t="str">
        <f aca="true">IF($D91="","",IF(IFERROR(INDEX(Settings!$C$11:$C$19,MATCH($L91,Settings!$B$11:$B$19,0)),"Yes")="No","",IF($M91="",IF($N91="","",$N91-TODAY()),IF($P91="","",$P91-TODAY()))))</f>
        <v/>
      </c>
      <c r="R91" s="37" t="str">
        <f aca="true">IF($D91="","",IF(IFERROR(INDEX(Settings!$C$11:$C$19,MATCH($L91,Settings!$B$11:$B$19,0)),"Yes")="No","CLOSED",IF($M91="",IF($N91="","ON TRACK",IF($N91&lt;TODAY(),"OVERDUE",IF($N91-TODAY()&lt;=Settings!$C$5,"DUE SOON","ON TRACK"))),IF($P91&lt;=TODAY(),"FOLLOW-UP DUE","ON TRACK"))))</f>
        <v/>
      </c>
      <c r="S91" s="35"/>
      <c r="T91" s="35"/>
      <c r="U91" s="38"/>
      <c r="V91" s="34"/>
      <c r="W91" s="35" t="str">
        <f aca="false">IF(OR($R91="OVERDUE",$R91="DUE SOON",$R91="FOLLOW-UP DUE"),MAX(W$3:W90)+1,"")</f>
        <v/>
      </c>
    </row>
    <row r="92" customFormat="false" ht="15" hidden="false" customHeight="false" outlineLevel="0" collapsed="false">
      <c r="A92" s="33" t="str">
        <f aca="false">IF($D92="","","JOB-"&amp;TEXT(ROW()-3,"000"))</f>
        <v/>
      </c>
      <c r="B92" s="34"/>
      <c r="C92" s="35"/>
      <c r="D92" s="35"/>
      <c r="E92" s="35"/>
      <c r="F92" s="35"/>
      <c r="G92" s="33"/>
      <c r="H92" s="35"/>
      <c r="I92" s="35"/>
      <c r="J92" s="35"/>
      <c r="K92" s="33"/>
      <c r="L92" s="33"/>
      <c r="M92" s="34"/>
      <c r="N92" s="34"/>
      <c r="O92" s="34"/>
      <c r="P92" s="34" t="str">
        <f aca="false">IF(OR($D92="",$M92=""),"",IF(IFERROR(INDEX(Settings!$C$11:$C$19,MATCH($L92,Settings!$B$11:$B$19,0)),"Yes")="No","",MAX($M92,$O92)+Settings!$C$6))</f>
        <v/>
      </c>
      <c r="Q92" s="36" t="str">
        <f aca="true">IF($D92="","",IF(IFERROR(INDEX(Settings!$C$11:$C$19,MATCH($L92,Settings!$B$11:$B$19,0)),"Yes")="No","",IF($M92="",IF($N92="","",$N92-TODAY()),IF($P92="","",$P92-TODAY()))))</f>
        <v/>
      </c>
      <c r="R92" s="37" t="str">
        <f aca="true">IF($D92="","",IF(IFERROR(INDEX(Settings!$C$11:$C$19,MATCH($L92,Settings!$B$11:$B$19,0)),"Yes")="No","CLOSED",IF($M92="",IF($N92="","ON TRACK",IF($N92&lt;TODAY(),"OVERDUE",IF($N92-TODAY()&lt;=Settings!$C$5,"DUE SOON","ON TRACK"))),IF($P92&lt;=TODAY(),"FOLLOW-UP DUE","ON TRACK"))))</f>
        <v/>
      </c>
      <c r="S92" s="35"/>
      <c r="T92" s="35"/>
      <c r="U92" s="38"/>
      <c r="V92" s="34"/>
      <c r="W92" s="35" t="str">
        <f aca="false">IF(OR($R92="OVERDUE",$R92="DUE SOON",$R92="FOLLOW-UP DUE"),MAX(W$3:W91)+1,"")</f>
        <v/>
      </c>
    </row>
    <row r="93" customFormat="false" ht="15" hidden="false" customHeight="false" outlineLevel="0" collapsed="false">
      <c r="A93" s="33" t="str">
        <f aca="false">IF($D93="","","JOB-"&amp;TEXT(ROW()-3,"000"))</f>
        <v/>
      </c>
      <c r="B93" s="34"/>
      <c r="C93" s="35"/>
      <c r="D93" s="35"/>
      <c r="E93" s="35"/>
      <c r="F93" s="35"/>
      <c r="G93" s="33"/>
      <c r="H93" s="35"/>
      <c r="I93" s="35"/>
      <c r="J93" s="35"/>
      <c r="K93" s="33"/>
      <c r="L93" s="33"/>
      <c r="M93" s="34"/>
      <c r="N93" s="34"/>
      <c r="O93" s="34"/>
      <c r="P93" s="34" t="str">
        <f aca="false">IF(OR($D93="",$M93=""),"",IF(IFERROR(INDEX(Settings!$C$11:$C$19,MATCH($L93,Settings!$B$11:$B$19,0)),"Yes")="No","",MAX($M93,$O93)+Settings!$C$6))</f>
        <v/>
      </c>
      <c r="Q93" s="36" t="str">
        <f aca="true">IF($D93="","",IF(IFERROR(INDEX(Settings!$C$11:$C$19,MATCH($L93,Settings!$B$11:$B$19,0)),"Yes")="No","",IF($M93="",IF($N93="","",$N93-TODAY()),IF($P93="","",$P93-TODAY()))))</f>
        <v/>
      </c>
      <c r="R93" s="37" t="str">
        <f aca="true">IF($D93="","",IF(IFERROR(INDEX(Settings!$C$11:$C$19,MATCH($L93,Settings!$B$11:$B$19,0)),"Yes")="No","CLOSED",IF($M93="",IF($N93="","ON TRACK",IF($N93&lt;TODAY(),"OVERDUE",IF($N93-TODAY()&lt;=Settings!$C$5,"DUE SOON","ON TRACK"))),IF($P93&lt;=TODAY(),"FOLLOW-UP DUE","ON TRACK"))))</f>
        <v/>
      </c>
      <c r="S93" s="35"/>
      <c r="T93" s="35"/>
      <c r="U93" s="38"/>
      <c r="V93" s="34"/>
      <c r="W93" s="35" t="str">
        <f aca="false">IF(OR($R93="OVERDUE",$R93="DUE SOON",$R93="FOLLOW-UP DUE"),MAX(W$3:W92)+1,"")</f>
        <v/>
      </c>
    </row>
    <row r="94" customFormat="false" ht="15" hidden="false" customHeight="false" outlineLevel="0" collapsed="false">
      <c r="A94" s="33" t="str">
        <f aca="false">IF($D94="","","JOB-"&amp;TEXT(ROW()-3,"000"))</f>
        <v/>
      </c>
      <c r="B94" s="34"/>
      <c r="C94" s="35"/>
      <c r="D94" s="35"/>
      <c r="E94" s="35"/>
      <c r="F94" s="35"/>
      <c r="G94" s="33"/>
      <c r="H94" s="35"/>
      <c r="I94" s="35"/>
      <c r="J94" s="35"/>
      <c r="K94" s="33"/>
      <c r="L94" s="33"/>
      <c r="M94" s="34"/>
      <c r="N94" s="34"/>
      <c r="O94" s="34"/>
      <c r="P94" s="34" t="str">
        <f aca="false">IF(OR($D94="",$M94=""),"",IF(IFERROR(INDEX(Settings!$C$11:$C$19,MATCH($L94,Settings!$B$11:$B$19,0)),"Yes")="No","",MAX($M94,$O94)+Settings!$C$6))</f>
        <v/>
      </c>
      <c r="Q94" s="36" t="str">
        <f aca="true">IF($D94="","",IF(IFERROR(INDEX(Settings!$C$11:$C$19,MATCH($L94,Settings!$B$11:$B$19,0)),"Yes")="No","",IF($M94="",IF($N94="","",$N94-TODAY()),IF($P94="","",$P94-TODAY()))))</f>
        <v/>
      </c>
      <c r="R94" s="37" t="str">
        <f aca="true">IF($D94="","",IF(IFERROR(INDEX(Settings!$C$11:$C$19,MATCH($L94,Settings!$B$11:$B$19,0)),"Yes")="No","CLOSED",IF($M94="",IF($N94="","ON TRACK",IF($N94&lt;TODAY(),"OVERDUE",IF($N94-TODAY()&lt;=Settings!$C$5,"DUE SOON","ON TRACK"))),IF($P94&lt;=TODAY(),"FOLLOW-UP DUE","ON TRACK"))))</f>
        <v/>
      </c>
      <c r="S94" s="35"/>
      <c r="T94" s="35"/>
      <c r="U94" s="38"/>
      <c r="V94" s="34"/>
      <c r="W94" s="35" t="str">
        <f aca="false">IF(OR($R94="OVERDUE",$R94="DUE SOON",$R94="FOLLOW-UP DUE"),MAX(W$3:W93)+1,"")</f>
        <v/>
      </c>
    </row>
    <row r="95" customFormat="false" ht="15" hidden="false" customHeight="false" outlineLevel="0" collapsed="false">
      <c r="A95" s="33" t="str">
        <f aca="false">IF($D95="","","JOB-"&amp;TEXT(ROW()-3,"000"))</f>
        <v/>
      </c>
      <c r="B95" s="34"/>
      <c r="C95" s="35"/>
      <c r="D95" s="35"/>
      <c r="E95" s="35"/>
      <c r="F95" s="35"/>
      <c r="G95" s="33"/>
      <c r="H95" s="35"/>
      <c r="I95" s="35"/>
      <c r="J95" s="35"/>
      <c r="K95" s="33"/>
      <c r="L95" s="33"/>
      <c r="M95" s="34"/>
      <c r="N95" s="34"/>
      <c r="O95" s="34"/>
      <c r="P95" s="34" t="str">
        <f aca="false">IF(OR($D95="",$M95=""),"",IF(IFERROR(INDEX(Settings!$C$11:$C$19,MATCH($L95,Settings!$B$11:$B$19,0)),"Yes")="No","",MAX($M95,$O95)+Settings!$C$6))</f>
        <v/>
      </c>
      <c r="Q95" s="36" t="str">
        <f aca="true">IF($D95="","",IF(IFERROR(INDEX(Settings!$C$11:$C$19,MATCH($L95,Settings!$B$11:$B$19,0)),"Yes")="No","",IF($M95="",IF($N95="","",$N95-TODAY()),IF($P95="","",$P95-TODAY()))))</f>
        <v/>
      </c>
      <c r="R95" s="37" t="str">
        <f aca="true">IF($D95="","",IF(IFERROR(INDEX(Settings!$C$11:$C$19,MATCH($L95,Settings!$B$11:$B$19,0)),"Yes")="No","CLOSED",IF($M95="",IF($N95="","ON TRACK",IF($N95&lt;TODAY(),"OVERDUE",IF($N95-TODAY()&lt;=Settings!$C$5,"DUE SOON","ON TRACK"))),IF($P95&lt;=TODAY(),"FOLLOW-UP DUE","ON TRACK"))))</f>
        <v/>
      </c>
      <c r="S95" s="35"/>
      <c r="T95" s="35"/>
      <c r="U95" s="38"/>
      <c r="V95" s="34"/>
      <c r="W95" s="35" t="str">
        <f aca="false">IF(OR($R95="OVERDUE",$R95="DUE SOON",$R95="FOLLOW-UP DUE"),MAX(W$3:W94)+1,"")</f>
        <v/>
      </c>
    </row>
    <row r="96" customFormat="false" ht="15" hidden="false" customHeight="false" outlineLevel="0" collapsed="false">
      <c r="A96" s="33" t="str">
        <f aca="false">IF($D96="","","JOB-"&amp;TEXT(ROW()-3,"000"))</f>
        <v/>
      </c>
      <c r="B96" s="34"/>
      <c r="C96" s="35"/>
      <c r="D96" s="35"/>
      <c r="E96" s="35"/>
      <c r="F96" s="35"/>
      <c r="G96" s="33"/>
      <c r="H96" s="35"/>
      <c r="I96" s="35"/>
      <c r="J96" s="35"/>
      <c r="K96" s="33"/>
      <c r="L96" s="33"/>
      <c r="M96" s="34"/>
      <c r="N96" s="34"/>
      <c r="O96" s="34"/>
      <c r="P96" s="34" t="str">
        <f aca="false">IF(OR($D96="",$M96=""),"",IF(IFERROR(INDEX(Settings!$C$11:$C$19,MATCH($L96,Settings!$B$11:$B$19,0)),"Yes")="No","",MAX($M96,$O96)+Settings!$C$6))</f>
        <v/>
      </c>
      <c r="Q96" s="36" t="str">
        <f aca="true">IF($D96="","",IF(IFERROR(INDEX(Settings!$C$11:$C$19,MATCH($L96,Settings!$B$11:$B$19,0)),"Yes")="No","",IF($M96="",IF($N96="","",$N96-TODAY()),IF($P96="","",$P96-TODAY()))))</f>
        <v/>
      </c>
      <c r="R96" s="37" t="str">
        <f aca="true">IF($D96="","",IF(IFERROR(INDEX(Settings!$C$11:$C$19,MATCH($L96,Settings!$B$11:$B$19,0)),"Yes")="No","CLOSED",IF($M96="",IF($N96="","ON TRACK",IF($N96&lt;TODAY(),"OVERDUE",IF($N96-TODAY()&lt;=Settings!$C$5,"DUE SOON","ON TRACK"))),IF($P96&lt;=TODAY(),"FOLLOW-UP DUE","ON TRACK"))))</f>
        <v/>
      </c>
      <c r="S96" s="35"/>
      <c r="T96" s="35"/>
      <c r="U96" s="38"/>
      <c r="V96" s="34"/>
      <c r="W96" s="35" t="str">
        <f aca="false">IF(OR($R96="OVERDUE",$R96="DUE SOON",$R96="FOLLOW-UP DUE"),MAX(W$3:W95)+1,"")</f>
        <v/>
      </c>
    </row>
    <row r="97" customFormat="false" ht="15" hidden="false" customHeight="false" outlineLevel="0" collapsed="false">
      <c r="A97" s="33" t="str">
        <f aca="false">IF($D97="","","JOB-"&amp;TEXT(ROW()-3,"000"))</f>
        <v/>
      </c>
      <c r="B97" s="34"/>
      <c r="C97" s="35"/>
      <c r="D97" s="35"/>
      <c r="E97" s="35"/>
      <c r="F97" s="35"/>
      <c r="G97" s="33"/>
      <c r="H97" s="35"/>
      <c r="I97" s="35"/>
      <c r="J97" s="35"/>
      <c r="K97" s="33"/>
      <c r="L97" s="33"/>
      <c r="M97" s="34"/>
      <c r="N97" s="34"/>
      <c r="O97" s="34"/>
      <c r="P97" s="34" t="str">
        <f aca="false">IF(OR($D97="",$M97=""),"",IF(IFERROR(INDEX(Settings!$C$11:$C$19,MATCH($L97,Settings!$B$11:$B$19,0)),"Yes")="No","",MAX($M97,$O97)+Settings!$C$6))</f>
        <v/>
      </c>
      <c r="Q97" s="36" t="str">
        <f aca="true">IF($D97="","",IF(IFERROR(INDEX(Settings!$C$11:$C$19,MATCH($L97,Settings!$B$11:$B$19,0)),"Yes")="No","",IF($M97="",IF($N97="","",$N97-TODAY()),IF($P97="","",$P97-TODAY()))))</f>
        <v/>
      </c>
      <c r="R97" s="37" t="str">
        <f aca="true">IF($D97="","",IF(IFERROR(INDEX(Settings!$C$11:$C$19,MATCH($L97,Settings!$B$11:$B$19,0)),"Yes")="No","CLOSED",IF($M97="",IF($N97="","ON TRACK",IF($N97&lt;TODAY(),"OVERDUE",IF($N97-TODAY()&lt;=Settings!$C$5,"DUE SOON","ON TRACK"))),IF($P97&lt;=TODAY(),"FOLLOW-UP DUE","ON TRACK"))))</f>
        <v/>
      </c>
      <c r="S97" s="35"/>
      <c r="T97" s="35"/>
      <c r="U97" s="38"/>
      <c r="V97" s="34"/>
      <c r="W97" s="35" t="str">
        <f aca="false">IF(OR($R97="OVERDUE",$R97="DUE SOON",$R97="FOLLOW-UP DUE"),MAX(W$3:W96)+1,"")</f>
        <v/>
      </c>
    </row>
    <row r="98" customFormat="false" ht="15" hidden="false" customHeight="false" outlineLevel="0" collapsed="false">
      <c r="A98" s="33" t="str">
        <f aca="false">IF($D98="","","JOB-"&amp;TEXT(ROW()-3,"000"))</f>
        <v/>
      </c>
      <c r="B98" s="34"/>
      <c r="C98" s="35"/>
      <c r="D98" s="35"/>
      <c r="E98" s="35"/>
      <c r="F98" s="35"/>
      <c r="G98" s="33"/>
      <c r="H98" s="35"/>
      <c r="I98" s="35"/>
      <c r="J98" s="35"/>
      <c r="K98" s="33"/>
      <c r="L98" s="33"/>
      <c r="M98" s="34"/>
      <c r="N98" s="34"/>
      <c r="O98" s="34"/>
      <c r="P98" s="34" t="str">
        <f aca="false">IF(OR($D98="",$M98=""),"",IF(IFERROR(INDEX(Settings!$C$11:$C$19,MATCH($L98,Settings!$B$11:$B$19,0)),"Yes")="No","",MAX($M98,$O98)+Settings!$C$6))</f>
        <v/>
      </c>
      <c r="Q98" s="36" t="str">
        <f aca="true">IF($D98="","",IF(IFERROR(INDEX(Settings!$C$11:$C$19,MATCH($L98,Settings!$B$11:$B$19,0)),"Yes")="No","",IF($M98="",IF($N98="","",$N98-TODAY()),IF($P98="","",$P98-TODAY()))))</f>
        <v/>
      </c>
      <c r="R98" s="37" t="str">
        <f aca="true">IF($D98="","",IF(IFERROR(INDEX(Settings!$C$11:$C$19,MATCH($L98,Settings!$B$11:$B$19,0)),"Yes")="No","CLOSED",IF($M98="",IF($N98="","ON TRACK",IF($N98&lt;TODAY(),"OVERDUE",IF($N98-TODAY()&lt;=Settings!$C$5,"DUE SOON","ON TRACK"))),IF($P98&lt;=TODAY(),"FOLLOW-UP DUE","ON TRACK"))))</f>
        <v/>
      </c>
      <c r="S98" s="35"/>
      <c r="T98" s="35"/>
      <c r="U98" s="38"/>
      <c r="V98" s="34"/>
      <c r="W98" s="35" t="str">
        <f aca="false">IF(OR($R98="OVERDUE",$R98="DUE SOON",$R98="FOLLOW-UP DUE"),MAX(W$3:W97)+1,"")</f>
        <v/>
      </c>
    </row>
    <row r="99" customFormat="false" ht="15" hidden="false" customHeight="false" outlineLevel="0" collapsed="false">
      <c r="A99" s="33" t="str">
        <f aca="false">IF($D99="","","JOB-"&amp;TEXT(ROW()-3,"000"))</f>
        <v/>
      </c>
      <c r="B99" s="34"/>
      <c r="C99" s="35"/>
      <c r="D99" s="35"/>
      <c r="E99" s="35"/>
      <c r="F99" s="35"/>
      <c r="G99" s="33"/>
      <c r="H99" s="35"/>
      <c r="I99" s="35"/>
      <c r="J99" s="35"/>
      <c r="K99" s="33"/>
      <c r="L99" s="33"/>
      <c r="M99" s="34"/>
      <c r="N99" s="34"/>
      <c r="O99" s="34"/>
      <c r="P99" s="34" t="str">
        <f aca="false">IF(OR($D99="",$M99=""),"",IF(IFERROR(INDEX(Settings!$C$11:$C$19,MATCH($L99,Settings!$B$11:$B$19,0)),"Yes")="No","",MAX($M99,$O99)+Settings!$C$6))</f>
        <v/>
      </c>
      <c r="Q99" s="36" t="str">
        <f aca="true">IF($D99="","",IF(IFERROR(INDEX(Settings!$C$11:$C$19,MATCH($L99,Settings!$B$11:$B$19,0)),"Yes")="No","",IF($M99="",IF($N99="","",$N99-TODAY()),IF($P99="","",$P99-TODAY()))))</f>
        <v/>
      </c>
      <c r="R99" s="37" t="str">
        <f aca="true">IF($D99="","",IF(IFERROR(INDEX(Settings!$C$11:$C$19,MATCH($L99,Settings!$B$11:$B$19,0)),"Yes")="No","CLOSED",IF($M99="",IF($N99="","ON TRACK",IF($N99&lt;TODAY(),"OVERDUE",IF($N99-TODAY()&lt;=Settings!$C$5,"DUE SOON","ON TRACK"))),IF($P99&lt;=TODAY(),"FOLLOW-UP DUE","ON TRACK"))))</f>
        <v/>
      </c>
      <c r="S99" s="35"/>
      <c r="T99" s="35"/>
      <c r="U99" s="38"/>
      <c r="V99" s="34"/>
      <c r="W99" s="35" t="str">
        <f aca="false">IF(OR($R99="OVERDUE",$R99="DUE SOON",$R99="FOLLOW-UP DUE"),MAX(W$3:W98)+1,"")</f>
        <v/>
      </c>
    </row>
    <row r="100" customFormat="false" ht="15" hidden="false" customHeight="false" outlineLevel="0" collapsed="false">
      <c r="A100" s="33" t="str">
        <f aca="false">IF($D100="","","JOB-"&amp;TEXT(ROW()-3,"000"))</f>
        <v/>
      </c>
      <c r="B100" s="34"/>
      <c r="C100" s="35"/>
      <c r="D100" s="35"/>
      <c r="E100" s="35"/>
      <c r="F100" s="35"/>
      <c r="G100" s="33"/>
      <c r="H100" s="35"/>
      <c r="I100" s="35"/>
      <c r="J100" s="35"/>
      <c r="K100" s="33"/>
      <c r="L100" s="33"/>
      <c r="M100" s="34"/>
      <c r="N100" s="34"/>
      <c r="O100" s="34"/>
      <c r="P100" s="34" t="str">
        <f aca="false">IF(OR($D100="",$M100=""),"",IF(IFERROR(INDEX(Settings!$C$11:$C$19,MATCH($L100,Settings!$B$11:$B$19,0)),"Yes")="No","",MAX($M100,$O100)+Settings!$C$6))</f>
        <v/>
      </c>
      <c r="Q100" s="36" t="str">
        <f aca="true">IF($D100="","",IF(IFERROR(INDEX(Settings!$C$11:$C$19,MATCH($L100,Settings!$B$11:$B$19,0)),"Yes")="No","",IF($M100="",IF($N100="","",$N100-TODAY()),IF($P100="","",$P100-TODAY()))))</f>
        <v/>
      </c>
      <c r="R100" s="37" t="str">
        <f aca="true">IF($D100="","",IF(IFERROR(INDEX(Settings!$C$11:$C$19,MATCH($L100,Settings!$B$11:$B$19,0)),"Yes")="No","CLOSED",IF($M100="",IF($N100="","ON TRACK",IF($N100&lt;TODAY(),"OVERDUE",IF($N100-TODAY()&lt;=Settings!$C$5,"DUE SOON","ON TRACK"))),IF($P100&lt;=TODAY(),"FOLLOW-UP DUE","ON TRACK"))))</f>
        <v/>
      </c>
      <c r="S100" s="35"/>
      <c r="T100" s="35"/>
      <c r="U100" s="38"/>
      <c r="V100" s="34"/>
      <c r="W100" s="35" t="str">
        <f aca="false">IF(OR($R100="OVERDUE",$R100="DUE SOON",$R100="FOLLOW-UP DUE"),MAX(W$3:W99)+1,"")</f>
        <v/>
      </c>
    </row>
    <row r="101" customFormat="false" ht="15" hidden="false" customHeight="false" outlineLevel="0" collapsed="false">
      <c r="A101" s="33" t="str">
        <f aca="false">IF($D101="","","JOB-"&amp;TEXT(ROW()-3,"000"))</f>
        <v/>
      </c>
      <c r="B101" s="34"/>
      <c r="C101" s="35"/>
      <c r="D101" s="35"/>
      <c r="E101" s="35"/>
      <c r="F101" s="35"/>
      <c r="G101" s="33"/>
      <c r="H101" s="35"/>
      <c r="I101" s="35"/>
      <c r="J101" s="35"/>
      <c r="K101" s="33"/>
      <c r="L101" s="33"/>
      <c r="M101" s="34"/>
      <c r="N101" s="34"/>
      <c r="O101" s="34"/>
      <c r="P101" s="34" t="str">
        <f aca="false">IF(OR($D101="",$M101=""),"",IF(IFERROR(INDEX(Settings!$C$11:$C$19,MATCH($L101,Settings!$B$11:$B$19,0)),"Yes")="No","",MAX($M101,$O101)+Settings!$C$6))</f>
        <v/>
      </c>
      <c r="Q101" s="36" t="str">
        <f aca="true">IF($D101="","",IF(IFERROR(INDEX(Settings!$C$11:$C$19,MATCH($L101,Settings!$B$11:$B$19,0)),"Yes")="No","",IF($M101="",IF($N101="","",$N101-TODAY()),IF($P101="","",$P101-TODAY()))))</f>
        <v/>
      </c>
      <c r="R101" s="37" t="str">
        <f aca="true">IF($D101="","",IF(IFERROR(INDEX(Settings!$C$11:$C$19,MATCH($L101,Settings!$B$11:$B$19,0)),"Yes")="No","CLOSED",IF($M101="",IF($N101="","ON TRACK",IF($N101&lt;TODAY(),"OVERDUE",IF($N101-TODAY()&lt;=Settings!$C$5,"DUE SOON","ON TRACK"))),IF($P101&lt;=TODAY(),"FOLLOW-UP DUE","ON TRACK"))))</f>
        <v/>
      </c>
      <c r="S101" s="35"/>
      <c r="T101" s="35"/>
      <c r="U101" s="38"/>
      <c r="V101" s="34"/>
      <c r="W101" s="35" t="str">
        <f aca="false">IF(OR($R101="OVERDUE",$R101="DUE SOON",$R101="FOLLOW-UP DUE"),MAX(W$3:W100)+1,"")</f>
        <v/>
      </c>
    </row>
    <row r="102" customFormat="false" ht="15" hidden="false" customHeight="false" outlineLevel="0" collapsed="false">
      <c r="A102" s="33" t="str">
        <f aca="false">IF($D102="","","JOB-"&amp;TEXT(ROW()-3,"000"))</f>
        <v/>
      </c>
      <c r="B102" s="34"/>
      <c r="C102" s="35"/>
      <c r="D102" s="35"/>
      <c r="E102" s="35"/>
      <c r="F102" s="35"/>
      <c r="G102" s="33"/>
      <c r="H102" s="35"/>
      <c r="I102" s="35"/>
      <c r="J102" s="35"/>
      <c r="K102" s="33"/>
      <c r="L102" s="33"/>
      <c r="M102" s="34"/>
      <c r="N102" s="34"/>
      <c r="O102" s="34"/>
      <c r="P102" s="34" t="str">
        <f aca="false">IF(OR($D102="",$M102=""),"",IF(IFERROR(INDEX(Settings!$C$11:$C$19,MATCH($L102,Settings!$B$11:$B$19,0)),"Yes")="No","",MAX($M102,$O102)+Settings!$C$6))</f>
        <v/>
      </c>
      <c r="Q102" s="36" t="str">
        <f aca="true">IF($D102="","",IF(IFERROR(INDEX(Settings!$C$11:$C$19,MATCH($L102,Settings!$B$11:$B$19,0)),"Yes")="No","",IF($M102="",IF($N102="","",$N102-TODAY()),IF($P102="","",$P102-TODAY()))))</f>
        <v/>
      </c>
      <c r="R102" s="37" t="str">
        <f aca="true">IF($D102="","",IF(IFERROR(INDEX(Settings!$C$11:$C$19,MATCH($L102,Settings!$B$11:$B$19,0)),"Yes")="No","CLOSED",IF($M102="",IF($N102="","ON TRACK",IF($N102&lt;TODAY(),"OVERDUE",IF($N102-TODAY()&lt;=Settings!$C$5,"DUE SOON","ON TRACK"))),IF($P102&lt;=TODAY(),"FOLLOW-UP DUE","ON TRACK"))))</f>
        <v/>
      </c>
      <c r="S102" s="35"/>
      <c r="T102" s="35"/>
      <c r="U102" s="38"/>
      <c r="V102" s="34"/>
      <c r="W102" s="35" t="str">
        <f aca="false">IF(OR($R102="OVERDUE",$R102="DUE SOON",$R102="FOLLOW-UP DUE"),MAX(W$3:W101)+1,"")</f>
        <v/>
      </c>
    </row>
    <row r="103" customFormat="false" ht="15" hidden="false" customHeight="false" outlineLevel="0" collapsed="false">
      <c r="A103" s="33" t="str">
        <f aca="false">IF($D103="","","JOB-"&amp;TEXT(ROW()-3,"000"))</f>
        <v/>
      </c>
      <c r="B103" s="34"/>
      <c r="C103" s="35"/>
      <c r="D103" s="35"/>
      <c r="E103" s="35"/>
      <c r="F103" s="35"/>
      <c r="G103" s="33"/>
      <c r="H103" s="35"/>
      <c r="I103" s="35"/>
      <c r="J103" s="35"/>
      <c r="K103" s="33"/>
      <c r="L103" s="33"/>
      <c r="M103" s="34"/>
      <c r="N103" s="34"/>
      <c r="O103" s="34"/>
      <c r="P103" s="34" t="str">
        <f aca="false">IF(OR($D103="",$M103=""),"",IF(IFERROR(INDEX(Settings!$C$11:$C$19,MATCH($L103,Settings!$B$11:$B$19,0)),"Yes")="No","",MAX($M103,$O103)+Settings!$C$6))</f>
        <v/>
      </c>
      <c r="Q103" s="36" t="str">
        <f aca="true">IF($D103="","",IF(IFERROR(INDEX(Settings!$C$11:$C$19,MATCH($L103,Settings!$B$11:$B$19,0)),"Yes")="No","",IF($M103="",IF($N103="","",$N103-TODAY()),IF($P103="","",$P103-TODAY()))))</f>
        <v/>
      </c>
      <c r="R103" s="37" t="str">
        <f aca="true">IF($D103="","",IF(IFERROR(INDEX(Settings!$C$11:$C$19,MATCH($L103,Settings!$B$11:$B$19,0)),"Yes")="No","CLOSED",IF($M103="",IF($N103="","ON TRACK",IF($N103&lt;TODAY(),"OVERDUE",IF($N103-TODAY()&lt;=Settings!$C$5,"DUE SOON","ON TRACK"))),IF($P103&lt;=TODAY(),"FOLLOW-UP DUE","ON TRACK"))))</f>
        <v/>
      </c>
      <c r="S103" s="35"/>
      <c r="T103" s="35"/>
      <c r="U103" s="38"/>
      <c r="V103" s="34"/>
      <c r="W103" s="35" t="str">
        <f aca="false">IF(OR($R103="OVERDUE",$R103="DUE SOON",$R103="FOLLOW-UP DUE"),MAX(W$3:W102)+1,"")</f>
        <v/>
      </c>
    </row>
    <row r="104" customFormat="false" ht="15" hidden="false" customHeight="false" outlineLevel="0" collapsed="false">
      <c r="A104" s="33" t="str">
        <f aca="false">IF($D104="","","JOB-"&amp;TEXT(ROW()-3,"000"))</f>
        <v/>
      </c>
      <c r="B104" s="34"/>
      <c r="C104" s="35"/>
      <c r="D104" s="35"/>
      <c r="E104" s="35"/>
      <c r="F104" s="35"/>
      <c r="G104" s="33"/>
      <c r="H104" s="35"/>
      <c r="I104" s="35"/>
      <c r="J104" s="35"/>
      <c r="K104" s="33"/>
      <c r="L104" s="33"/>
      <c r="M104" s="34"/>
      <c r="N104" s="34"/>
      <c r="O104" s="34"/>
      <c r="P104" s="34" t="str">
        <f aca="false">IF(OR($D104="",$M104=""),"",IF(IFERROR(INDEX(Settings!$C$11:$C$19,MATCH($L104,Settings!$B$11:$B$19,0)),"Yes")="No","",MAX($M104,$O104)+Settings!$C$6))</f>
        <v/>
      </c>
      <c r="Q104" s="36" t="str">
        <f aca="true">IF($D104="","",IF(IFERROR(INDEX(Settings!$C$11:$C$19,MATCH($L104,Settings!$B$11:$B$19,0)),"Yes")="No","",IF($M104="",IF($N104="","",$N104-TODAY()),IF($P104="","",$P104-TODAY()))))</f>
        <v/>
      </c>
      <c r="R104" s="37" t="str">
        <f aca="true">IF($D104="","",IF(IFERROR(INDEX(Settings!$C$11:$C$19,MATCH($L104,Settings!$B$11:$B$19,0)),"Yes")="No","CLOSED",IF($M104="",IF($N104="","ON TRACK",IF($N104&lt;TODAY(),"OVERDUE",IF($N104-TODAY()&lt;=Settings!$C$5,"DUE SOON","ON TRACK"))),IF($P104&lt;=TODAY(),"FOLLOW-UP DUE","ON TRACK"))))</f>
        <v/>
      </c>
      <c r="S104" s="35"/>
      <c r="T104" s="35"/>
      <c r="U104" s="38"/>
      <c r="V104" s="34"/>
      <c r="W104" s="35" t="str">
        <f aca="false">IF(OR($R104="OVERDUE",$R104="DUE SOON",$R104="FOLLOW-UP DUE"),MAX(W$3:W103)+1,"")</f>
        <v/>
      </c>
    </row>
    <row r="105" customFormat="false" ht="15" hidden="false" customHeight="false" outlineLevel="0" collapsed="false">
      <c r="A105" s="33" t="str">
        <f aca="false">IF($D105="","","JOB-"&amp;TEXT(ROW()-3,"000"))</f>
        <v/>
      </c>
      <c r="B105" s="34"/>
      <c r="C105" s="35"/>
      <c r="D105" s="35"/>
      <c r="E105" s="35"/>
      <c r="F105" s="35"/>
      <c r="G105" s="33"/>
      <c r="H105" s="35"/>
      <c r="I105" s="35"/>
      <c r="J105" s="35"/>
      <c r="K105" s="33"/>
      <c r="L105" s="33"/>
      <c r="M105" s="34"/>
      <c r="N105" s="34"/>
      <c r="O105" s="34"/>
      <c r="P105" s="34" t="str">
        <f aca="false">IF(OR($D105="",$M105=""),"",IF(IFERROR(INDEX(Settings!$C$11:$C$19,MATCH($L105,Settings!$B$11:$B$19,0)),"Yes")="No","",MAX($M105,$O105)+Settings!$C$6))</f>
        <v/>
      </c>
      <c r="Q105" s="36" t="str">
        <f aca="true">IF($D105="","",IF(IFERROR(INDEX(Settings!$C$11:$C$19,MATCH($L105,Settings!$B$11:$B$19,0)),"Yes")="No","",IF($M105="",IF($N105="","",$N105-TODAY()),IF($P105="","",$P105-TODAY()))))</f>
        <v/>
      </c>
      <c r="R105" s="37" t="str">
        <f aca="true">IF($D105="","",IF(IFERROR(INDEX(Settings!$C$11:$C$19,MATCH($L105,Settings!$B$11:$B$19,0)),"Yes")="No","CLOSED",IF($M105="",IF($N105="","ON TRACK",IF($N105&lt;TODAY(),"OVERDUE",IF($N105-TODAY()&lt;=Settings!$C$5,"DUE SOON","ON TRACK"))),IF($P105&lt;=TODAY(),"FOLLOW-UP DUE","ON TRACK"))))</f>
        <v/>
      </c>
      <c r="S105" s="35"/>
      <c r="T105" s="35"/>
      <c r="U105" s="38"/>
      <c r="V105" s="34"/>
      <c r="W105" s="35" t="str">
        <f aca="false">IF(OR($R105="OVERDUE",$R105="DUE SOON",$R105="FOLLOW-UP DUE"),MAX(W$3:W104)+1,"")</f>
        <v/>
      </c>
    </row>
    <row r="106" customFormat="false" ht="15" hidden="false" customHeight="false" outlineLevel="0" collapsed="false">
      <c r="A106" s="33" t="str">
        <f aca="false">IF($D106="","","JOB-"&amp;TEXT(ROW()-3,"000"))</f>
        <v/>
      </c>
      <c r="B106" s="34"/>
      <c r="C106" s="35"/>
      <c r="D106" s="35"/>
      <c r="E106" s="35"/>
      <c r="F106" s="35"/>
      <c r="G106" s="33"/>
      <c r="H106" s="35"/>
      <c r="I106" s="35"/>
      <c r="J106" s="35"/>
      <c r="K106" s="33"/>
      <c r="L106" s="33"/>
      <c r="M106" s="34"/>
      <c r="N106" s="34"/>
      <c r="O106" s="34"/>
      <c r="P106" s="34" t="str">
        <f aca="false">IF(OR($D106="",$M106=""),"",IF(IFERROR(INDEX(Settings!$C$11:$C$19,MATCH($L106,Settings!$B$11:$B$19,0)),"Yes")="No","",MAX($M106,$O106)+Settings!$C$6))</f>
        <v/>
      </c>
      <c r="Q106" s="36" t="str">
        <f aca="true">IF($D106="","",IF(IFERROR(INDEX(Settings!$C$11:$C$19,MATCH($L106,Settings!$B$11:$B$19,0)),"Yes")="No","",IF($M106="",IF($N106="","",$N106-TODAY()),IF($P106="","",$P106-TODAY()))))</f>
        <v/>
      </c>
      <c r="R106" s="37" t="str">
        <f aca="true">IF($D106="","",IF(IFERROR(INDEX(Settings!$C$11:$C$19,MATCH($L106,Settings!$B$11:$B$19,0)),"Yes")="No","CLOSED",IF($M106="",IF($N106="","ON TRACK",IF($N106&lt;TODAY(),"OVERDUE",IF($N106-TODAY()&lt;=Settings!$C$5,"DUE SOON","ON TRACK"))),IF($P106&lt;=TODAY(),"FOLLOW-UP DUE","ON TRACK"))))</f>
        <v/>
      </c>
      <c r="S106" s="35"/>
      <c r="T106" s="35"/>
      <c r="U106" s="38"/>
      <c r="V106" s="34"/>
      <c r="W106" s="35" t="str">
        <f aca="false">IF(OR($R106="OVERDUE",$R106="DUE SOON",$R106="FOLLOW-UP DUE"),MAX(W$3:W105)+1,"")</f>
        <v/>
      </c>
    </row>
    <row r="107" customFormat="false" ht="15" hidden="false" customHeight="false" outlineLevel="0" collapsed="false">
      <c r="A107" s="33" t="str">
        <f aca="false">IF($D107="","","JOB-"&amp;TEXT(ROW()-3,"000"))</f>
        <v/>
      </c>
      <c r="B107" s="34"/>
      <c r="C107" s="35"/>
      <c r="D107" s="35"/>
      <c r="E107" s="35"/>
      <c r="F107" s="35"/>
      <c r="G107" s="33"/>
      <c r="H107" s="35"/>
      <c r="I107" s="35"/>
      <c r="J107" s="35"/>
      <c r="K107" s="33"/>
      <c r="L107" s="33"/>
      <c r="M107" s="34"/>
      <c r="N107" s="34"/>
      <c r="O107" s="34"/>
      <c r="P107" s="34" t="str">
        <f aca="false">IF(OR($D107="",$M107=""),"",IF(IFERROR(INDEX(Settings!$C$11:$C$19,MATCH($L107,Settings!$B$11:$B$19,0)),"Yes")="No","",MAX($M107,$O107)+Settings!$C$6))</f>
        <v/>
      </c>
      <c r="Q107" s="36" t="str">
        <f aca="true">IF($D107="","",IF(IFERROR(INDEX(Settings!$C$11:$C$19,MATCH($L107,Settings!$B$11:$B$19,0)),"Yes")="No","",IF($M107="",IF($N107="","",$N107-TODAY()),IF($P107="","",$P107-TODAY()))))</f>
        <v/>
      </c>
      <c r="R107" s="37" t="str">
        <f aca="true">IF($D107="","",IF(IFERROR(INDEX(Settings!$C$11:$C$19,MATCH($L107,Settings!$B$11:$B$19,0)),"Yes")="No","CLOSED",IF($M107="",IF($N107="","ON TRACK",IF($N107&lt;TODAY(),"OVERDUE",IF($N107-TODAY()&lt;=Settings!$C$5,"DUE SOON","ON TRACK"))),IF($P107&lt;=TODAY(),"FOLLOW-UP DUE","ON TRACK"))))</f>
        <v/>
      </c>
      <c r="S107" s="35"/>
      <c r="T107" s="35"/>
      <c r="U107" s="38"/>
      <c r="V107" s="34"/>
      <c r="W107" s="35" t="str">
        <f aca="false">IF(OR($R107="OVERDUE",$R107="DUE SOON",$R107="FOLLOW-UP DUE"),MAX(W$3:W106)+1,"")</f>
        <v/>
      </c>
    </row>
    <row r="108" customFormat="false" ht="15" hidden="false" customHeight="false" outlineLevel="0" collapsed="false">
      <c r="A108" s="33" t="str">
        <f aca="false">IF($D108="","","JOB-"&amp;TEXT(ROW()-3,"000"))</f>
        <v/>
      </c>
      <c r="B108" s="34"/>
      <c r="C108" s="35"/>
      <c r="D108" s="35"/>
      <c r="E108" s="35"/>
      <c r="F108" s="35"/>
      <c r="G108" s="33"/>
      <c r="H108" s="35"/>
      <c r="I108" s="35"/>
      <c r="J108" s="35"/>
      <c r="K108" s="33"/>
      <c r="L108" s="33"/>
      <c r="M108" s="34"/>
      <c r="N108" s="34"/>
      <c r="O108" s="34"/>
      <c r="P108" s="34" t="str">
        <f aca="false">IF(OR($D108="",$M108=""),"",IF(IFERROR(INDEX(Settings!$C$11:$C$19,MATCH($L108,Settings!$B$11:$B$19,0)),"Yes")="No","",MAX($M108,$O108)+Settings!$C$6))</f>
        <v/>
      </c>
      <c r="Q108" s="36" t="str">
        <f aca="true">IF($D108="","",IF(IFERROR(INDEX(Settings!$C$11:$C$19,MATCH($L108,Settings!$B$11:$B$19,0)),"Yes")="No","",IF($M108="",IF($N108="","",$N108-TODAY()),IF($P108="","",$P108-TODAY()))))</f>
        <v/>
      </c>
      <c r="R108" s="37" t="str">
        <f aca="true">IF($D108="","",IF(IFERROR(INDEX(Settings!$C$11:$C$19,MATCH($L108,Settings!$B$11:$B$19,0)),"Yes")="No","CLOSED",IF($M108="",IF($N108="","ON TRACK",IF($N108&lt;TODAY(),"OVERDUE",IF($N108-TODAY()&lt;=Settings!$C$5,"DUE SOON","ON TRACK"))),IF($P108&lt;=TODAY(),"FOLLOW-UP DUE","ON TRACK"))))</f>
        <v/>
      </c>
      <c r="S108" s="35"/>
      <c r="T108" s="35"/>
      <c r="U108" s="38"/>
      <c r="V108" s="34"/>
      <c r="W108" s="35" t="str">
        <f aca="false">IF(OR($R108="OVERDUE",$R108="DUE SOON",$R108="FOLLOW-UP DUE"),MAX(W$3:W107)+1,"")</f>
        <v/>
      </c>
    </row>
    <row r="109" customFormat="false" ht="15" hidden="false" customHeight="false" outlineLevel="0" collapsed="false">
      <c r="A109" s="33" t="str">
        <f aca="false">IF($D109="","","JOB-"&amp;TEXT(ROW()-3,"000"))</f>
        <v/>
      </c>
      <c r="B109" s="34"/>
      <c r="C109" s="35"/>
      <c r="D109" s="35"/>
      <c r="E109" s="35"/>
      <c r="F109" s="35"/>
      <c r="G109" s="33"/>
      <c r="H109" s="35"/>
      <c r="I109" s="35"/>
      <c r="J109" s="35"/>
      <c r="K109" s="33"/>
      <c r="L109" s="33"/>
      <c r="M109" s="34"/>
      <c r="N109" s="34"/>
      <c r="O109" s="34"/>
      <c r="P109" s="34" t="str">
        <f aca="false">IF(OR($D109="",$M109=""),"",IF(IFERROR(INDEX(Settings!$C$11:$C$19,MATCH($L109,Settings!$B$11:$B$19,0)),"Yes")="No","",MAX($M109,$O109)+Settings!$C$6))</f>
        <v/>
      </c>
      <c r="Q109" s="36" t="str">
        <f aca="true">IF($D109="","",IF(IFERROR(INDEX(Settings!$C$11:$C$19,MATCH($L109,Settings!$B$11:$B$19,0)),"Yes")="No","",IF($M109="",IF($N109="","",$N109-TODAY()),IF($P109="","",$P109-TODAY()))))</f>
        <v/>
      </c>
      <c r="R109" s="37" t="str">
        <f aca="true">IF($D109="","",IF(IFERROR(INDEX(Settings!$C$11:$C$19,MATCH($L109,Settings!$B$11:$B$19,0)),"Yes")="No","CLOSED",IF($M109="",IF($N109="","ON TRACK",IF($N109&lt;TODAY(),"OVERDUE",IF($N109-TODAY()&lt;=Settings!$C$5,"DUE SOON","ON TRACK"))),IF($P109&lt;=TODAY(),"FOLLOW-UP DUE","ON TRACK"))))</f>
        <v/>
      </c>
      <c r="S109" s="35"/>
      <c r="T109" s="35"/>
      <c r="U109" s="38"/>
      <c r="V109" s="34"/>
      <c r="W109" s="35" t="str">
        <f aca="false">IF(OR($R109="OVERDUE",$R109="DUE SOON",$R109="FOLLOW-UP DUE"),MAX(W$3:W108)+1,"")</f>
        <v/>
      </c>
    </row>
    <row r="110" customFormat="false" ht="15" hidden="false" customHeight="false" outlineLevel="0" collapsed="false">
      <c r="A110" s="33" t="str">
        <f aca="false">IF($D110="","","JOB-"&amp;TEXT(ROW()-3,"000"))</f>
        <v/>
      </c>
      <c r="B110" s="34"/>
      <c r="C110" s="35"/>
      <c r="D110" s="35"/>
      <c r="E110" s="35"/>
      <c r="F110" s="35"/>
      <c r="G110" s="33"/>
      <c r="H110" s="35"/>
      <c r="I110" s="35"/>
      <c r="J110" s="35"/>
      <c r="K110" s="33"/>
      <c r="L110" s="33"/>
      <c r="M110" s="34"/>
      <c r="N110" s="34"/>
      <c r="O110" s="34"/>
      <c r="P110" s="34" t="str">
        <f aca="false">IF(OR($D110="",$M110=""),"",IF(IFERROR(INDEX(Settings!$C$11:$C$19,MATCH($L110,Settings!$B$11:$B$19,0)),"Yes")="No","",MAX($M110,$O110)+Settings!$C$6))</f>
        <v/>
      </c>
      <c r="Q110" s="36" t="str">
        <f aca="true">IF($D110="","",IF(IFERROR(INDEX(Settings!$C$11:$C$19,MATCH($L110,Settings!$B$11:$B$19,0)),"Yes")="No","",IF($M110="",IF($N110="","",$N110-TODAY()),IF($P110="","",$P110-TODAY()))))</f>
        <v/>
      </c>
      <c r="R110" s="37" t="str">
        <f aca="true">IF($D110="","",IF(IFERROR(INDEX(Settings!$C$11:$C$19,MATCH($L110,Settings!$B$11:$B$19,0)),"Yes")="No","CLOSED",IF($M110="",IF($N110="","ON TRACK",IF($N110&lt;TODAY(),"OVERDUE",IF($N110-TODAY()&lt;=Settings!$C$5,"DUE SOON","ON TRACK"))),IF($P110&lt;=TODAY(),"FOLLOW-UP DUE","ON TRACK"))))</f>
        <v/>
      </c>
      <c r="S110" s="35"/>
      <c r="T110" s="35"/>
      <c r="U110" s="38"/>
      <c r="V110" s="34"/>
      <c r="W110" s="35" t="str">
        <f aca="false">IF(OR($R110="OVERDUE",$R110="DUE SOON",$R110="FOLLOW-UP DUE"),MAX(W$3:W109)+1,"")</f>
        <v/>
      </c>
    </row>
    <row r="111" customFormat="false" ht="15" hidden="false" customHeight="false" outlineLevel="0" collapsed="false">
      <c r="A111" s="33" t="str">
        <f aca="false">IF($D111="","","JOB-"&amp;TEXT(ROW()-3,"000"))</f>
        <v/>
      </c>
      <c r="B111" s="34"/>
      <c r="C111" s="35"/>
      <c r="D111" s="35"/>
      <c r="E111" s="35"/>
      <c r="F111" s="35"/>
      <c r="G111" s="33"/>
      <c r="H111" s="35"/>
      <c r="I111" s="35"/>
      <c r="J111" s="35"/>
      <c r="K111" s="33"/>
      <c r="L111" s="33"/>
      <c r="M111" s="34"/>
      <c r="N111" s="34"/>
      <c r="O111" s="34"/>
      <c r="P111" s="34" t="str">
        <f aca="false">IF(OR($D111="",$M111=""),"",IF(IFERROR(INDEX(Settings!$C$11:$C$19,MATCH($L111,Settings!$B$11:$B$19,0)),"Yes")="No","",MAX($M111,$O111)+Settings!$C$6))</f>
        <v/>
      </c>
      <c r="Q111" s="36" t="str">
        <f aca="true">IF($D111="","",IF(IFERROR(INDEX(Settings!$C$11:$C$19,MATCH($L111,Settings!$B$11:$B$19,0)),"Yes")="No","",IF($M111="",IF($N111="","",$N111-TODAY()),IF($P111="","",$P111-TODAY()))))</f>
        <v/>
      </c>
      <c r="R111" s="37" t="str">
        <f aca="true">IF($D111="","",IF(IFERROR(INDEX(Settings!$C$11:$C$19,MATCH($L111,Settings!$B$11:$B$19,0)),"Yes")="No","CLOSED",IF($M111="",IF($N111="","ON TRACK",IF($N111&lt;TODAY(),"OVERDUE",IF($N111-TODAY()&lt;=Settings!$C$5,"DUE SOON","ON TRACK"))),IF($P111&lt;=TODAY(),"FOLLOW-UP DUE","ON TRACK"))))</f>
        <v/>
      </c>
      <c r="S111" s="35"/>
      <c r="T111" s="35"/>
      <c r="U111" s="38"/>
      <c r="V111" s="34"/>
      <c r="W111" s="35" t="str">
        <f aca="false">IF(OR($R111="OVERDUE",$R111="DUE SOON",$R111="FOLLOW-UP DUE"),MAX(W$3:W110)+1,"")</f>
        <v/>
      </c>
    </row>
    <row r="112" customFormat="false" ht="15" hidden="false" customHeight="false" outlineLevel="0" collapsed="false">
      <c r="A112" s="33" t="str">
        <f aca="false">IF($D112="","","JOB-"&amp;TEXT(ROW()-3,"000"))</f>
        <v/>
      </c>
      <c r="B112" s="34"/>
      <c r="C112" s="35"/>
      <c r="D112" s="35"/>
      <c r="E112" s="35"/>
      <c r="F112" s="35"/>
      <c r="G112" s="33"/>
      <c r="H112" s="35"/>
      <c r="I112" s="35"/>
      <c r="J112" s="35"/>
      <c r="K112" s="33"/>
      <c r="L112" s="33"/>
      <c r="M112" s="34"/>
      <c r="N112" s="34"/>
      <c r="O112" s="34"/>
      <c r="P112" s="34" t="str">
        <f aca="false">IF(OR($D112="",$M112=""),"",IF(IFERROR(INDEX(Settings!$C$11:$C$19,MATCH($L112,Settings!$B$11:$B$19,0)),"Yes")="No","",MAX($M112,$O112)+Settings!$C$6))</f>
        <v/>
      </c>
      <c r="Q112" s="36" t="str">
        <f aca="true">IF($D112="","",IF(IFERROR(INDEX(Settings!$C$11:$C$19,MATCH($L112,Settings!$B$11:$B$19,0)),"Yes")="No","",IF($M112="",IF($N112="","",$N112-TODAY()),IF($P112="","",$P112-TODAY()))))</f>
        <v/>
      </c>
      <c r="R112" s="37" t="str">
        <f aca="true">IF($D112="","",IF(IFERROR(INDEX(Settings!$C$11:$C$19,MATCH($L112,Settings!$B$11:$B$19,0)),"Yes")="No","CLOSED",IF($M112="",IF($N112="","ON TRACK",IF($N112&lt;TODAY(),"OVERDUE",IF($N112-TODAY()&lt;=Settings!$C$5,"DUE SOON","ON TRACK"))),IF($P112&lt;=TODAY(),"FOLLOW-UP DUE","ON TRACK"))))</f>
        <v/>
      </c>
      <c r="S112" s="35"/>
      <c r="T112" s="35"/>
      <c r="U112" s="38"/>
      <c r="V112" s="34"/>
      <c r="W112" s="35" t="str">
        <f aca="false">IF(OR($R112="OVERDUE",$R112="DUE SOON",$R112="FOLLOW-UP DUE"),MAX(W$3:W111)+1,"")</f>
        <v/>
      </c>
    </row>
    <row r="113" customFormat="false" ht="15" hidden="false" customHeight="false" outlineLevel="0" collapsed="false">
      <c r="A113" s="33" t="str">
        <f aca="false">IF($D113="","","JOB-"&amp;TEXT(ROW()-3,"000"))</f>
        <v/>
      </c>
      <c r="B113" s="34"/>
      <c r="C113" s="35"/>
      <c r="D113" s="35"/>
      <c r="E113" s="35"/>
      <c r="F113" s="35"/>
      <c r="G113" s="33"/>
      <c r="H113" s="35"/>
      <c r="I113" s="35"/>
      <c r="J113" s="35"/>
      <c r="K113" s="33"/>
      <c r="L113" s="33"/>
      <c r="M113" s="34"/>
      <c r="N113" s="34"/>
      <c r="O113" s="34"/>
      <c r="P113" s="34" t="str">
        <f aca="false">IF(OR($D113="",$M113=""),"",IF(IFERROR(INDEX(Settings!$C$11:$C$19,MATCH($L113,Settings!$B$11:$B$19,0)),"Yes")="No","",MAX($M113,$O113)+Settings!$C$6))</f>
        <v/>
      </c>
      <c r="Q113" s="36" t="str">
        <f aca="true">IF($D113="","",IF(IFERROR(INDEX(Settings!$C$11:$C$19,MATCH($L113,Settings!$B$11:$B$19,0)),"Yes")="No","",IF($M113="",IF($N113="","",$N113-TODAY()),IF($P113="","",$P113-TODAY()))))</f>
        <v/>
      </c>
      <c r="R113" s="37" t="str">
        <f aca="true">IF($D113="","",IF(IFERROR(INDEX(Settings!$C$11:$C$19,MATCH($L113,Settings!$B$11:$B$19,0)),"Yes")="No","CLOSED",IF($M113="",IF($N113="","ON TRACK",IF($N113&lt;TODAY(),"OVERDUE",IF($N113-TODAY()&lt;=Settings!$C$5,"DUE SOON","ON TRACK"))),IF($P113&lt;=TODAY(),"FOLLOW-UP DUE","ON TRACK"))))</f>
        <v/>
      </c>
      <c r="S113" s="35"/>
      <c r="T113" s="35"/>
      <c r="U113" s="38"/>
      <c r="V113" s="34"/>
      <c r="W113" s="35" t="str">
        <f aca="false">IF(OR($R113="OVERDUE",$R113="DUE SOON",$R113="FOLLOW-UP DUE"),MAX(W$3:W112)+1,"")</f>
        <v/>
      </c>
    </row>
    <row r="114" customFormat="false" ht="15" hidden="false" customHeight="false" outlineLevel="0" collapsed="false">
      <c r="A114" s="33" t="str">
        <f aca="false">IF($D114="","","JOB-"&amp;TEXT(ROW()-3,"000"))</f>
        <v/>
      </c>
      <c r="B114" s="34"/>
      <c r="C114" s="35"/>
      <c r="D114" s="35"/>
      <c r="E114" s="35"/>
      <c r="F114" s="35"/>
      <c r="G114" s="33"/>
      <c r="H114" s="35"/>
      <c r="I114" s="35"/>
      <c r="J114" s="35"/>
      <c r="K114" s="33"/>
      <c r="L114" s="33"/>
      <c r="M114" s="34"/>
      <c r="N114" s="34"/>
      <c r="O114" s="34"/>
      <c r="P114" s="34" t="str">
        <f aca="false">IF(OR($D114="",$M114=""),"",IF(IFERROR(INDEX(Settings!$C$11:$C$19,MATCH($L114,Settings!$B$11:$B$19,0)),"Yes")="No","",MAX($M114,$O114)+Settings!$C$6))</f>
        <v/>
      </c>
      <c r="Q114" s="36" t="str">
        <f aca="true">IF($D114="","",IF(IFERROR(INDEX(Settings!$C$11:$C$19,MATCH($L114,Settings!$B$11:$B$19,0)),"Yes")="No","",IF($M114="",IF($N114="","",$N114-TODAY()),IF($P114="","",$P114-TODAY()))))</f>
        <v/>
      </c>
      <c r="R114" s="37" t="str">
        <f aca="true">IF($D114="","",IF(IFERROR(INDEX(Settings!$C$11:$C$19,MATCH($L114,Settings!$B$11:$B$19,0)),"Yes")="No","CLOSED",IF($M114="",IF($N114="","ON TRACK",IF($N114&lt;TODAY(),"OVERDUE",IF($N114-TODAY()&lt;=Settings!$C$5,"DUE SOON","ON TRACK"))),IF($P114&lt;=TODAY(),"FOLLOW-UP DUE","ON TRACK"))))</f>
        <v/>
      </c>
      <c r="S114" s="35"/>
      <c r="T114" s="35"/>
      <c r="U114" s="38"/>
      <c r="V114" s="34"/>
      <c r="W114" s="35" t="str">
        <f aca="false">IF(OR($R114="OVERDUE",$R114="DUE SOON",$R114="FOLLOW-UP DUE"),MAX(W$3:W113)+1,"")</f>
        <v/>
      </c>
    </row>
    <row r="115" customFormat="false" ht="15" hidden="false" customHeight="false" outlineLevel="0" collapsed="false">
      <c r="A115" s="33" t="str">
        <f aca="false">IF($D115="","","JOB-"&amp;TEXT(ROW()-3,"000"))</f>
        <v/>
      </c>
      <c r="B115" s="34"/>
      <c r="C115" s="35"/>
      <c r="D115" s="35"/>
      <c r="E115" s="35"/>
      <c r="F115" s="35"/>
      <c r="G115" s="33"/>
      <c r="H115" s="35"/>
      <c r="I115" s="35"/>
      <c r="J115" s="35"/>
      <c r="K115" s="33"/>
      <c r="L115" s="33"/>
      <c r="M115" s="34"/>
      <c r="N115" s="34"/>
      <c r="O115" s="34"/>
      <c r="P115" s="34" t="str">
        <f aca="false">IF(OR($D115="",$M115=""),"",IF(IFERROR(INDEX(Settings!$C$11:$C$19,MATCH($L115,Settings!$B$11:$B$19,0)),"Yes")="No","",MAX($M115,$O115)+Settings!$C$6))</f>
        <v/>
      </c>
      <c r="Q115" s="36" t="str">
        <f aca="true">IF($D115="","",IF(IFERROR(INDEX(Settings!$C$11:$C$19,MATCH($L115,Settings!$B$11:$B$19,0)),"Yes")="No","",IF($M115="",IF($N115="","",$N115-TODAY()),IF($P115="","",$P115-TODAY()))))</f>
        <v/>
      </c>
      <c r="R115" s="37" t="str">
        <f aca="true">IF($D115="","",IF(IFERROR(INDEX(Settings!$C$11:$C$19,MATCH($L115,Settings!$B$11:$B$19,0)),"Yes")="No","CLOSED",IF($M115="",IF($N115="","ON TRACK",IF($N115&lt;TODAY(),"OVERDUE",IF($N115-TODAY()&lt;=Settings!$C$5,"DUE SOON","ON TRACK"))),IF($P115&lt;=TODAY(),"FOLLOW-UP DUE","ON TRACK"))))</f>
        <v/>
      </c>
      <c r="S115" s="35"/>
      <c r="T115" s="35"/>
      <c r="U115" s="38"/>
      <c r="V115" s="34"/>
      <c r="W115" s="35" t="str">
        <f aca="false">IF(OR($R115="OVERDUE",$R115="DUE SOON",$R115="FOLLOW-UP DUE"),MAX(W$3:W114)+1,"")</f>
        <v/>
      </c>
    </row>
    <row r="116" customFormat="false" ht="15" hidden="false" customHeight="false" outlineLevel="0" collapsed="false">
      <c r="A116" s="33" t="str">
        <f aca="false">IF($D116="","","JOB-"&amp;TEXT(ROW()-3,"000"))</f>
        <v/>
      </c>
      <c r="B116" s="34"/>
      <c r="C116" s="35"/>
      <c r="D116" s="35"/>
      <c r="E116" s="35"/>
      <c r="F116" s="35"/>
      <c r="G116" s="33"/>
      <c r="H116" s="35"/>
      <c r="I116" s="35"/>
      <c r="J116" s="35"/>
      <c r="K116" s="33"/>
      <c r="L116" s="33"/>
      <c r="M116" s="34"/>
      <c r="N116" s="34"/>
      <c r="O116" s="34"/>
      <c r="P116" s="34" t="str">
        <f aca="false">IF(OR($D116="",$M116=""),"",IF(IFERROR(INDEX(Settings!$C$11:$C$19,MATCH($L116,Settings!$B$11:$B$19,0)),"Yes")="No","",MAX($M116,$O116)+Settings!$C$6))</f>
        <v/>
      </c>
      <c r="Q116" s="36" t="str">
        <f aca="true">IF($D116="","",IF(IFERROR(INDEX(Settings!$C$11:$C$19,MATCH($L116,Settings!$B$11:$B$19,0)),"Yes")="No","",IF($M116="",IF($N116="","",$N116-TODAY()),IF($P116="","",$P116-TODAY()))))</f>
        <v/>
      </c>
      <c r="R116" s="37" t="str">
        <f aca="true">IF($D116="","",IF(IFERROR(INDEX(Settings!$C$11:$C$19,MATCH($L116,Settings!$B$11:$B$19,0)),"Yes")="No","CLOSED",IF($M116="",IF($N116="","ON TRACK",IF($N116&lt;TODAY(),"OVERDUE",IF($N116-TODAY()&lt;=Settings!$C$5,"DUE SOON","ON TRACK"))),IF($P116&lt;=TODAY(),"FOLLOW-UP DUE","ON TRACK"))))</f>
        <v/>
      </c>
      <c r="S116" s="35"/>
      <c r="T116" s="35"/>
      <c r="U116" s="38"/>
      <c r="V116" s="34"/>
      <c r="W116" s="35" t="str">
        <f aca="false">IF(OR($R116="OVERDUE",$R116="DUE SOON",$R116="FOLLOW-UP DUE"),MAX(W$3:W115)+1,"")</f>
        <v/>
      </c>
    </row>
    <row r="117" customFormat="false" ht="15" hidden="false" customHeight="false" outlineLevel="0" collapsed="false">
      <c r="A117" s="33" t="str">
        <f aca="false">IF($D117="","","JOB-"&amp;TEXT(ROW()-3,"000"))</f>
        <v/>
      </c>
      <c r="B117" s="34"/>
      <c r="C117" s="35"/>
      <c r="D117" s="35"/>
      <c r="E117" s="35"/>
      <c r="F117" s="35"/>
      <c r="G117" s="33"/>
      <c r="H117" s="35"/>
      <c r="I117" s="35"/>
      <c r="J117" s="35"/>
      <c r="K117" s="33"/>
      <c r="L117" s="33"/>
      <c r="M117" s="34"/>
      <c r="N117" s="34"/>
      <c r="O117" s="34"/>
      <c r="P117" s="34" t="str">
        <f aca="false">IF(OR($D117="",$M117=""),"",IF(IFERROR(INDEX(Settings!$C$11:$C$19,MATCH($L117,Settings!$B$11:$B$19,0)),"Yes")="No","",MAX($M117,$O117)+Settings!$C$6))</f>
        <v/>
      </c>
      <c r="Q117" s="36" t="str">
        <f aca="true">IF($D117="","",IF(IFERROR(INDEX(Settings!$C$11:$C$19,MATCH($L117,Settings!$B$11:$B$19,0)),"Yes")="No","",IF($M117="",IF($N117="","",$N117-TODAY()),IF($P117="","",$P117-TODAY()))))</f>
        <v/>
      </c>
      <c r="R117" s="37" t="str">
        <f aca="true">IF($D117="","",IF(IFERROR(INDEX(Settings!$C$11:$C$19,MATCH($L117,Settings!$B$11:$B$19,0)),"Yes")="No","CLOSED",IF($M117="",IF($N117="","ON TRACK",IF($N117&lt;TODAY(),"OVERDUE",IF($N117-TODAY()&lt;=Settings!$C$5,"DUE SOON","ON TRACK"))),IF($P117&lt;=TODAY(),"FOLLOW-UP DUE","ON TRACK"))))</f>
        <v/>
      </c>
      <c r="S117" s="35"/>
      <c r="T117" s="35"/>
      <c r="U117" s="38"/>
      <c r="V117" s="34"/>
      <c r="W117" s="35" t="str">
        <f aca="false">IF(OR($R117="OVERDUE",$R117="DUE SOON",$R117="FOLLOW-UP DUE"),MAX(W$3:W116)+1,"")</f>
        <v/>
      </c>
    </row>
    <row r="118" customFormat="false" ht="15" hidden="false" customHeight="false" outlineLevel="0" collapsed="false">
      <c r="A118" s="33" t="str">
        <f aca="false">IF($D118="","","JOB-"&amp;TEXT(ROW()-3,"000"))</f>
        <v/>
      </c>
      <c r="B118" s="34"/>
      <c r="C118" s="35"/>
      <c r="D118" s="35"/>
      <c r="E118" s="35"/>
      <c r="F118" s="35"/>
      <c r="G118" s="33"/>
      <c r="H118" s="35"/>
      <c r="I118" s="35"/>
      <c r="J118" s="35"/>
      <c r="K118" s="33"/>
      <c r="L118" s="33"/>
      <c r="M118" s="34"/>
      <c r="N118" s="34"/>
      <c r="O118" s="34"/>
      <c r="P118" s="34" t="str">
        <f aca="false">IF(OR($D118="",$M118=""),"",IF(IFERROR(INDEX(Settings!$C$11:$C$19,MATCH($L118,Settings!$B$11:$B$19,0)),"Yes")="No","",MAX($M118,$O118)+Settings!$C$6))</f>
        <v/>
      </c>
      <c r="Q118" s="36" t="str">
        <f aca="true">IF($D118="","",IF(IFERROR(INDEX(Settings!$C$11:$C$19,MATCH($L118,Settings!$B$11:$B$19,0)),"Yes")="No","",IF($M118="",IF($N118="","",$N118-TODAY()),IF($P118="","",$P118-TODAY()))))</f>
        <v/>
      </c>
      <c r="R118" s="37" t="str">
        <f aca="true">IF($D118="","",IF(IFERROR(INDEX(Settings!$C$11:$C$19,MATCH($L118,Settings!$B$11:$B$19,0)),"Yes")="No","CLOSED",IF($M118="",IF($N118="","ON TRACK",IF($N118&lt;TODAY(),"OVERDUE",IF($N118-TODAY()&lt;=Settings!$C$5,"DUE SOON","ON TRACK"))),IF($P118&lt;=TODAY(),"FOLLOW-UP DUE","ON TRACK"))))</f>
        <v/>
      </c>
      <c r="S118" s="35"/>
      <c r="T118" s="35"/>
      <c r="U118" s="38"/>
      <c r="V118" s="34"/>
      <c r="W118" s="35" t="str">
        <f aca="false">IF(OR($R118="OVERDUE",$R118="DUE SOON",$R118="FOLLOW-UP DUE"),MAX(W$3:W117)+1,"")</f>
        <v/>
      </c>
    </row>
    <row r="119" customFormat="false" ht="15" hidden="false" customHeight="false" outlineLevel="0" collapsed="false">
      <c r="A119" s="33" t="str">
        <f aca="false">IF($D119="","","JOB-"&amp;TEXT(ROW()-3,"000"))</f>
        <v/>
      </c>
      <c r="B119" s="34"/>
      <c r="C119" s="35"/>
      <c r="D119" s="35"/>
      <c r="E119" s="35"/>
      <c r="F119" s="35"/>
      <c r="G119" s="33"/>
      <c r="H119" s="35"/>
      <c r="I119" s="35"/>
      <c r="J119" s="35"/>
      <c r="K119" s="33"/>
      <c r="L119" s="33"/>
      <c r="M119" s="34"/>
      <c r="N119" s="34"/>
      <c r="O119" s="34"/>
      <c r="P119" s="34" t="str">
        <f aca="false">IF(OR($D119="",$M119=""),"",IF(IFERROR(INDEX(Settings!$C$11:$C$19,MATCH($L119,Settings!$B$11:$B$19,0)),"Yes")="No","",MAX($M119,$O119)+Settings!$C$6))</f>
        <v/>
      </c>
      <c r="Q119" s="36" t="str">
        <f aca="true">IF($D119="","",IF(IFERROR(INDEX(Settings!$C$11:$C$19,MATCH($L119,Settings!$B$11:$B$19,0)),"Yes")="No","",IF($M119="",IF($N119="","",$N119-TODAY()),IF($P119="","",$P119-TODAY()))))</f>
        <v/>
      </c>
      <c r="R119" s="37" t="str">
        <f aca="true">IF($D119="","",IF(IFERROR(INDEX(Settings!$C$11:$C$19,MATCH($L119,Settings!$B$11:$B$19,0)),"Yes")="No","CLOSED",IF($M119="",IF($N119="","ON TRACK",IF($N119&lt;TODAY(),"OVERDUE",IF($N119-TODAY()&lt;=Settings!$C$5,"DUE SOON","ON TRACK"))),IF($P119&lt;=TODAY(),"FOLLOW-UP DUE","ON TRACK"))))</f>
        <v/>
      </c>
      <c r="S119" s="35"/>
      <c r="T119" s="35"/>
      <c r="U119" s="38"/>
      <c r="V119" s="34"/>
      <c r="W119" s="35" t="str">
        <f aca="false">IF(OR($R119="OVERDUE",$R119="DUE SOON",$R119="FOLLOW-UP DUE"),MAX(W$3:W118)+1,"")</f>
        <v/>
      </c>
    </row>
    <row r="120" customFormat="false" ht="15" hidden="false" customHeight="false" outlineLevel="0" collapsed="false">
      <c r="A120" s="33" t="str">
        <f aca="false">IF($D120="","","JOB-"&amp;TEXT(ROW()-3,"000"))</f>
        <v/>
      </c>
      <c r="B120" s="34"/>
      <c r="C120" s="35"/>
      <c r="D120" s="35"/>
      <c r="E120" s="35"/>
      <c r="F120" s="35"/>
      <c r="G120" s="33"/>
      <c r="H120" s="35"/>
      <c r="I120" s="35"/>
      <c r="J120" s="35"/>
      <c r="K120" s="33"/>
      <c r="L120" s="33"/>
      <c r="M120" s="34"/>
      <c r="N120" s="34"/>
      <c r="O120" s="34"/>
      <c r="P120" s="34" t="str">
        <f aca="false">IF(OR($D120="",$M120=""),"",IF(IFERROR(INDEX(Settings!$C$11:$C$19,MATCH($L120,Settings!$B$11:$B$19,0)),"Yes")="No","",MAX($M120,$O120)+Settings!$C$6))</f>
        <v/>
      </c>
      <c r="Q120" s="36" t="str">
        <f aca="true">IF($D120="","",IF(IFERROR(INDEX(Settings!$C$11:$C$19,MATCH($L120,Settings!$B$11:$B$19,0)),"Yes")="No","",IF($M120="",IF($N120="","",$N120-TODAY()),IF($P120="","",$P120-TODAY()))))</f>
        <v/>
      </c>
      <c r="R120" s="37" t="str">
        <f aca="true">IF($D120="","",IF(IFERROR(INDEX(Settings!$C$11:$C$19,MATCH($L120,Settings!$B$11:$B$19,0)),"Yes")="No","CLOSED",IF($M120="",IF($N120="","ON TRACK",IF($N120&lt;TODAY(),"OVERDUE",IF($N120-TODAY()&lt;=Settings!$C$5,"DUE SOON","ON TRACK"))),IF($P120&lt;=TODAY(),"FOLLOW-UP DUE","ON TRACK"))))</f>
        <v/>
      </c>
      <c r="S120" s="35"/>
      <c r="T120" s="35"/>
      <c r="U120" s="38"/>
      <c r="V120" s="34"/>
      <c r="W120" s="35" t="str">
        <f aca="false">IF(OR($R120="OVERDUE",$R120="DUE SOON",$R120="FOLLOW-UP DUE"),MAX(W$3:W119)+1,"")</f>
        <v/>
      </c>
    </row>
    <row r="121" customFormat="false" ht="15" hidden="false" customHeight="false" outlineLevel="0" collapsed="false">
      <c r="A121" s="33" t="str">
        <f aca="false">IF($D121="","","JOB-"&amp;TEXT(ROW()-3,"000"))</f>
        <v/>
      </c>
      <c r="B121" s="34"/>
      <c r="C121" s="35"/>
      <c r="D121" s="35"/>
      <c r="E121" s="35"/>
      <c r="F121" s="35"/>
      <c r="G121" s="33"/>
      <c r="H121" s="35"/>
      <c r="I121" s="35"/>
      <c r="J121" s="35"/>
      <c r="K121" s="33"/>
      <c r="L121" s="33"/>
      <c r="M121" s="34"/>
      <c r="N121" s="34"/>
      <c r="O121" s="34"/>
      <c r="P121" s="34" t="str">
        <f aca="false">IF(OR($D121="",$M121=""),"",IF(IFERROR(INDEX(Settings!$C$11:$C$19,MATCH($L121,Settings!$B$11:$B$19,0)),"Yes")="No","",MAX($M121,$O121)+Settings!$C$6))</f>
        <v/>
      </c>
      <c r="Q121" s="36" t="str">
        <f aca="true">IF($D121="","",IF(IFERROR(INDEX(Settings!$C$11:$C$19,MATCH($L121,Settings!$B$11:$B$19,0)),"Yes")="No","",IF($M121="",IF($N121="","",$N121-TODAY()),IF($P121="","",$P121-TODAY()))))</f>
        <v/>
      </c>
      <c r="R121" s="37" t="str">
        <f aca="true">IF($D121="","",IF(IFERROR(INDEX(Settings!$C$11:$C$19,MATCH($L121,Settings!$B$11:$B$19,0)),"Yes")="No","CLOSED",IF($M121="",IF($N121="","ON TRACK",IF($N121&lt;TODAY(),"OVERDUE",IF($N121-TODAY()&lt;=Settings!$C$5,"DUE SOON","ON TRACK"))),IF($P121&lt;=TODAY(),"FOLLOW-UP DUE","ON TRACK"))))</f>
        <v/>
      </c>
      <c r="S121" s="35"/>
      <c r="T121" s="35"/>
      <c r="U121" s="38"/>
      <c r="V121" s="34"/>
      <c r="W121" s="35" t="str">
        <f aca="false">IF(OR($R121="OVERDUE",$R121="DUE SOON",$R121="FOLLOW-UP DUE"),MAX(W$3:W120)+1,"")</f>
        <v/>
      </c>
    </row>
    <row r="122" customFormat="false" ht="15" hidden="false" customHeight="false" outlineLevel="0" collapsed="false">
      <c r="A122" s="33" t="str">
        <f aca="false">IF($D122="","","JOB-"&amp;TEXT(ROW()-3,"000"))</f>
        <v/>
      </c>
      <c r="B122" s="34"/>
      <c r="C122" s="35"/>
      <c r="D122" s="35"/>
      <c r="E122" s="35"/>
      <c r="F122" s="35"/>
      <c r="G122" s="33"/>
      <c r="H122" s="35"/>
      <c r="I122" s="35"/>
      <c r="J122" s="35"/>
      <c r="K122" s="33"/>
      <c r="L122" s="33"/>
      <c r="M122" s="34"/>
      <c r="N122" s="34"/>
      <c r="O122" s="34"/>
      <c r="P122" s="34" t="str">
        <f aca="false">IF(OR($D122="",$M122=""),"",IF(IFERROR(INDEX(Settings!$C$11:$C$19,MATCH($L122,Settings!$B$11:$B$19,0)),"Yes")="No","",MAX($M122,$O122)+Settings!$C$6))</f>
        <v/>
      </c>
      <c r="Q122" s="36" t="str">
        <f aca="true">IF($D122="","",IF(IFERROR(INDEX(Settings!$C$11:$C$19,MATCH($L122,Settings!$B$11:$B$19,0)),"Yes")="No","",IF($M122="",IF($N122="","",$N122-TODAY()),IF($P122="","",$P122-TODAY()))))</f>
        <v/>
      </c>
      <c r="R122" s="37" t="str">
        <f aca="true">IF($D122="","",IF(IFERROR(INDEX(Settings!$C$11:$C$19,MATCH($L122,Settings!$B$11:$B$19,0)),"Yes")="No","CLOSED",IF($M122="",IF($N122="","ON TRACK",IF($N122&lt;TODAY(),"OVERDUE",IF($N122-TODAY()&lt;=Settings!$C$5,"DUE SOON","ON TRACK"))),IF($P122&lt;=TODAY(),"FOLLOW-UP DUE","ON TRACK"))))</f>
        <v/>
      </c>
      <c r="S122" s="35"/>
      <c r="T122" s="35"/>
      <c r="U122" s="38"/>
      <c r="V122" s="34"/>
      <c r="W122" s="35" t="str">
        <f aca="false">IF(OR($R122="OVERDUE",$R122="DUE SOON",$R122="FOLLOW-UP DUE"),MAX(W$3:W121)+1,"")</f>
        <v/>
      </c>
    </row>
    <row r="123" customFormat="false" ht="15" hidden="false" customHeight="false" outlineLevel="0" collapsed="false">
      <c r="A123" s="33" t="str">
        <f aca="false">IF($D123="","","JOB-"&amp;TEXT(ROW()-3,"000"))</f>
        <v/>
      </c>
      <c r="B123" s="34"/>
      <c r="C123" s="35"/>
      <c r="D123" s="35"/>
      <c r="E123" s="35"/>
      <c r="F123" s="35"/>
      <c r="G123" s="33"/>
      <c r="H123" s="35"/>
      <c r="I123" s="35"/>
      <c r="J123" s="35"/>
      <c r="K123" s="33"/>
      <c r="L123" s="33"/>
      <c r="M123" s="34"/>
      <c r="N123" s="34"/>
      <c r="O123" s="34"/>
      <c r="P123" s="34" t="str">
        <f aca="false">IF(OR($D123="",$M123=""),"",IF(IFERROR(INDEX(Settings!$C$11:$C$19,MATCH($L123,Settings!$B$11:$B$19,0)),"Yes")="No","",MAX($M123,$O123)+Settings!$C$6))</f>
        <v/>
      </c>
      <c r="Q123" s="36" t="str">
        <f aca="true">IF($D123="","",IF(IFERROR(INDEX(Settings!$C$11:$C$19,MATCH($L123,Settings!$B$11:$B$19,0)),"Yes")="No","",IF($M123="",IF($N123="","",$N123-TODAY()),IF($P123="","",$P123-TODAY()))))</f>
        <v/>
      </c>
      <c r="R123" s="37" t="str">
        <f aca="true">IF($D123="","",IF(IFERROR(INDEX(Settings!$C$11:$C$19,MATCH($L123,Settings!$B$11:$B$19,0)),"Yes")="No","CLOSED",IF($M123="",IF($N123="","ON TRACK",IF($N123&lt;TODAY(),"OVERDUE",IF($N123-TODAY()&lt;=Settings!$C$5,"DUE SOON","ON TRACK"))),IF($P123&lt;=TODAY(),"FOLLOW-UP DUE","ON TRACK"))))</f>
        <v/>
      </c>
      <c r="S123" s="35"/>
      <c r="T123" s="35"/>
      <c r="U123" s="38"/>
      <c r="V123" s="34"/>
      <c r="W123" s="35" t="str">
        <f aca="false">IF(OR($R123="OVERDUE",$R123="DUE SOON",$R123="FOLLOW-UP DUE"),MAX(W$3:W122)+1,"")</f>
        <v/>
      </c>
    </row>
    <row r="124" customFormat="false" ht="15" hidden="false" customHeight="false" outlineLevel="0" collapsed="false">
      <c r="A124" s="33" t="str">
        <f aca="false">IF($D124="","","JOB-"&amp;TEXT(ROW()-3,"000"))</f>
        <v/>
      </c>
      <c r="B124" s="34"/>
      <c r="C124" s="35"/>
      <c r="D124" s="35"/>
      <c r="E124" s="35"/>
      <c r="F124" s="35"/>
      <c r="G124" s="33"/>
      <c r="H124" s="35"/>
      <c r="I124" s="35"/>
      <c r="J124" s="35"/>
      <c r="K124" s="33"/>
      <c r="L124" s="33"/>
      <c r="M124" s="34"/>
      <c r="N124" s="34"/>
      <c r="O124" s="34"/>
      <c r="P124" s="34" t="str">
        <f aca="false">IF(OR($D124="",$M124=""),"",IF(IFERROR(INDEX(Settings!$C$11:$C$19,MATCH($L124,Settings!$B$11:$B$19,0)),"Yes")="No","",MAX($M124,$O124)+Settings!$C$6))</f>
        <v/>
      </c>
      <c r="Q124" s="36" t="str">
        <f aca="true">IF($D124="","",IF(IFERROR(INDEX(Settings!$C$11:$C$19,MATCH($L124,Settings!$B$11:$B$19,0)),"Yes")="No","",IF($M124="",IF($N124="","",$N124-TODAY()),IF($P124="","",$P124-TODAY()))))</f>
        <v/>
      </c>
      <c r="R124" s="37" t="str">
        <f aca="true">IF($D124="","",IF(IFERROR(INDEX(Settings!$C$11:$C$19,MATCH($L124,Settings!$B$11:$B$19,0)),"Yes")="No","CLOSED",IF($M124="",IF($N124="","ON TRACK",IF($N124&lt;TODAY(),"OVERDUE",IF($N124-TODAY()&lt;=Settings!$C$5,"DUE SOON","ON TRACK"))),IF($P124&lt;=TODAY(),"FOLLOW-UP DUE","ON TRACK"))))</f>
        <v/>
      </c>
      <c r="S124" s="35"/>
      <c r="T124" s="35"/>
      <c r="U124" s="38"/>
      <c r="V124" s="34"/>
      <c r="W124" s="35" t="str">
        <f aca="false">IF(OR($R124="OVERDUE",$R124="DUE SOON",$R124="FOLLOW-UP DUE"),MAX(W$3:W123)+1,"")</f>
        <v/>
      </c>
    </row>
    <row r="125" customFormat="false" ht="15" hidden="false" customHeight="false" outlineLevel="0" collapsed="false">
      <c r="A125" s="33" t="str">
        <f aca="false">IF($D125="","","JOB-"&amp;TEXT(ROW()-3,"000"))</f>
        <v/>
      </c>
      <c r="B125" s="34"/>
      <c r="C125" s="35"/>
      <c r="D125" s="35"/>
      <c r="E125" s="35"/>
      <c r="F125" s="35"/>
      <c r="G125" s="33"/>
      <c r="H125" s="35"/>
      <c r="I125" s="35"/>
      <c r="J125" s="35"/>
      <c r="K125" s="33"/>
      <c r="L125" s="33"/>
      <c r="M125" s="34"/>
      <c r="N125" s="34"/>
      <c r="O125" s="34"/>
      <c r="P125" s="34" t="str">
        <f aca="false">IF(OR($D125="",$M125=""),"",IF(IFERROR(INDEX(Settings!$C$11:$C$19,MATCH($L125,Settings!$B$11:$B$19,0)),"Yes")="No","",MAX($M125,$O125)+Settings!$C$6))</f>
        <v/>
      </c>
      <c r="Q125" s="36" t="str">
        <f aca="true">IF($D125="","",IF(IFERROR(INDEX(Settings!$C$11:$C$19,MATCH($L125,Settings!$B$11:$B$19,0)),"Yes")="No","",IF($M125="",IF($N125="","",$N125-TODAY()),IF($P125="","",$P125-TODAY()))))</f>
        <v/>
      </c>
      <c r="R125" s="37" t="str">
        <f aca="true">IF($D125="","",IF(IFERROR(INDEX(Settings!$C$11:$C$19,MATCH($L125,Settings!$B$11:$B$19,0)),"Yes")="No","CLOSED",IF($M125="",IF($N125="","ON TRACK",IF($N125&lt;TODAY(),"OVERDUE",IF($N125-TODAY()&lt;=Settings!$C$5,"DUE SOON","ON TRACK"))),IF($P125&lt;=TODAY(),"FOLLOW-UP DUE","ON TRACK"))))</f>
        <v/>
      </c>
      <c r="S125" s="35"/>
      <c r="T125" s="35"/>
      <c r="U125" s="38"/>
      <c r="V125" s="34"/>
      <c r="W125" s="35" t="str">
        <f aca="false">IF(OR($R125="OVERDUE",$R125="DUE SOON",$R125="FOLLOW-UP DUE"),MAX(W$3:W124)+1,"")</f>
        <v/>
      </c>
    </row>
    <row r="126" customFormat="false" ht="15" hidden="false" customHeight="false" outlineLevel="0" collapsed="false">
      <c r="A126" s="33" t="str">
        <f aca="false">IF($D126="","","JOB-"&amp;TEXT(ROW()-3,"000"))</f>
        <v/>
      </c>
      <c r="B126" s="34"/>
      <c r="C126" s="35"/>
      <c r="D126" s="35"/>
      <c r="E126" s="35"/>
      <c r="F126" s="35"/>
      <c r="G126" s="33"/>
      <c r="H126" s="35"/>
      <c r="I126" s="35"/>
      <c r="J126" s="35"/>
      <c r="K126" s="33"/>
      <c r="L126" s="33"/>
      <c r="M126" s="34"/>
      <c r="N126" s="34"/>
      <c r="O126" s="34"/>
      <c r="P126" s="34" t="str">
        <f aca="false">IF(OR($D126="",$M126=""),"",IF(IFERROR(INDEX(Settings!$C$11:$C$19,MATCH($L126,Settings!$B$11:$B$19,0)),"Yes")="No","",MAX($M126,$O126)+Settings!$C$6))</f>
        <v/>
      </c>
      <c r="Q126" s="36" t="str">
        <f aca="true">IF($D126="","",IF(IFERROR(INDEX(Settings!$C$11:$C$19,MATCH($L126,Settings!$B$11:$B$19,0)),"Yes")="No","",IF($M126="",IF($N126="","",$N126-TODAY()),IF($P126="","",$P126-TODAY()))))</f>
        <v/>
      </c>
      <c r="R126" s="37" t="str">
        <f aca="true">IF($D126="","",IF(IFERROR(INDEX(Settings!$C$11:$C$19,MATCH($L126,Settings!$B$11:$B$19,0)),"Yes")="No","CLOSED",IF($M126="",IF($N126="","ON TRACK",IF($N126&lt;TODAY(),"OVERDUE",IF($N126-TODAY()&lt;=Settings!$C$5,"DUE SOON","ON TRACK"))),IF($P126&lt;=TODAY(),"FOLLOW-UP DUE","ON TRACK"))))</f>
        <v/>
      </c>
      <c r="S126" s="35"/>
      <c r="T126" s="35"/>
      <c r="U126" s="38"/>
      <c r="V126" s="34"/>
      <c r="W126" s="35" t="str">
        <f aca="false">IF(OR($R126="OVERDUE",$R126="DUE SOON",$R126="FOLLOW-UP DUE"),MAX(W$3:W125)+1,"")</f>
        <v/>
      </c>
    </row>
    <row r="127" customFormat="false" ht="15" hidden="false" customHeight="false" outlineLevel="0" collapsed="false">
      <c r="A127" s="33" t="str">
        <f aca="false">IF($D127="","","JOB-"&amp;TEXT(ROW()-3,"000"))</f>
        <v/>
      </c>
      <c r="B127" s="34"/>
      <c r="C127" s="35"/>
      <c r="D127" s="35"/>
      <c r="E127" s="35"/>
      <c r="F127" s="35"/>
      <c r="G127" s="33"/>
      <c r="H127" s="35"/>
      <c r="I127" s="35"/>
      <c r="J127" s="35"/>
      <c r="K127" s="33"/>
      <c r="L127" s="33"/>
      <c r="M127" s="34"/>
      <c r="N127" s="34"/>
      <c r="O127" s="34"/>
      <c r="P127" s="34" t="str">
        <f aca="false">IF(OR($D127="",$M127=""),"",IF(IFERROR(INDEX(Settings!$C$11:$C$19,MATCH($L127,Settings!$B$11:$B$19,0)),"Yes")="No","",MAX($M127,$O127)+Settings!$C$6))</f>
        <v/>
      </c>
      <c r="Q127" s="36" t="str">
        <f aca="true">IF($D127="","",IF(IFERROR(INDEX(Settings!$C$11:$C$19,MATCH($L127,Settings!$B$11:$B$19,0)),"Yes")="No","",IF($M127="",IF($N127="","",$N127-TODAY()),IF($P127="","",$P127-TODAY()))))</f>
        <v/>
      </c>
      <c r="R127" s="37" t="str">
        <f aca="true">IF($D127="","",IF(IFERROR(INDEX(Settings!$C$11:$C$19,MATCH($L127,Settings!$B$11:$B$19,0)),"Yes")="No","CLOSED",IF($M127="",IF($N127="","ON TRACK",IF($N127&lt;TODAY(),"OVERDUE",IF($N127-TODAY()&lt;=Settings!$C$5,"DUE SOON","ON TRACK"))),IF($P127&lt;=TODAY(),"FOLLOW-UP DUE","ON TRACK"))))</f>
        <v/>
      </c>
      <c r="S127" s="35"/>
      <c r="T127" s="35"/>
      <c r="U127" s="38"/>
      <c r="V127" s="34"/>
      <c r="W127" s="35" t="str">
        <f aca="false">IF(OR($R127="OVERDUE",$R127="DUE SOON",$R127="FOLLOW-UP DUE"),MAX(W$3:W126)+1,"")</f>
        <v/>
      </c>
    </row>
    <row r="128" customFormat="false" ht="15" hidden="false" customHeight="false" outlineLevel="0" collapsed="false">
      <c r="A128" s="33" t="str">
        <f aca="false">IF($D128="","","JOB-"&amp;TEXT(ROW()-3,"000"))</f>
        <v/>
      </c>
      <c r="B128" s="34"/>
      <c r="C128" s="35"/>
      <c r="D128" s="35"/>
      <c r="E128" s="35"/>
      <c r="F128" s="35"/>
      <c r="G128" s="33"/>
      <c r="H128" s="35"/>
      <c r="I128" s="35"/>
      <c r="J128" s="35"/>
      <c r="K128" s="33"/>
      <c r="L128" s="33"/>
      <c r="M128" s="34"/>
      <c r="N128" s="34"/>
      <c r="O128" s="34"/>
      <c r="P128" s="34" t="str">
        <f aca="false">IF(OR($D128="",$M128=""),"",IF(IFERROR(INDEX(Settings!$C$11:$C$19,MATCH($L128,Settings!$B$11:$B$19,0)),"Yes")="No","",MAX($M128,$O128)+Settings!$C$6))</f>
        <v/>
      </c>
      <c r="Q128" s="36" t="str">
        <f aca="true">IF($D128="","",IF(IFERROR(INDEX(Settings!$C$11:$C$19,MATCH($L128,Settings!$B$11:$B$19,0)),"Yes")="No","",IF($M128="",IF($N128="","",$N128-TODAY()),IF($P128="","",$P128-TODAY()))))</f>
        <v/>
      </c>
      <c r="R128" s="37" t="str">
        <f aca="true">IF($D128="","",IF(IFERROR(INDEX(Settings!$C$11:$C$19,MATCH($L128,Settings!$B$11:$B$19,0)),"Yes")="No","CLOSED",IF($M128="",IF($N128="","ON TRACK",IF($N128&lt;TODAY(),"OVERDUE",IF($N128-TODAY()&lt;=Settings!$C$5,"DUE SOON","ON TRACK"))),IF($P128&lt;=TODAY(),"FOLLOW-UP DUE","ON TRACK"))))</f>
        <v/>
      </c>
      <c r="S128" s="35"/>
      <c r="T128" s="35"/>
      <c r="U128" s="38"/>
      <c r="V128" s="34"/>
      <c r="W128" s="35" t="str">
        <f aca="false">IF(OR($R128="OVERDUE",$R128="DUE SOON",$R128="FOLLOW-UP DUE"),MAX(W$3:W127)+1,"")</f>
        <v/>
      </c>
    </row>
    <row r="129" customFormat="false" ht="15" hidden="false" customHeight="false" outlineLevel="0" collapsed="false">
      <c r="A129" s="33" t="str">
        <f aca="false">IF($D129="","","JOB-"&amp;TEXT(ROW()-3,"000"))</f>
        <v/>
      </c>
      <c r="B129" s="34"/>
      <c r="C129" s="35"/>
      <c r="D129" s="35"/>
      <c r="E129" s="35"/>
      <c r="F129" s="35"/>
      <c r="G129" s="33"/>
      <c r="H129" s="35"/>
      <c r="I129" s="35"/>
      <c r="J129" s="35"/>
      <c r="K129" s="33"/>
      <c r="L129" s="33"/>
      <c r="M129" s="34"/>
      <c r="N129" s="34"/>
      <c r="O129" s="34"/>
      <c r="P129" s="34" t="str">
        <f aca="false">IF(OR($D129="",$M129=""),"",IF(IFERROR(INDEX(Settings!$C$11:$C$19,MATCH($L129,Settings!$B$11:$B$19,0)),"Yes")="No","",MAX($M129,$O129)+Settings!$C$6))</f>
        <v/>
      </c>
      <c r="Q129" s="36" t="str">
        <f aca="true">IF($D129="","",IF(IFERROR(INDEX(Settings!$C$11:$C$19,MATCH($L129,Settings!$B$11:$B$19,0)),"Yes")="No","",IF($M129="",IF($N129="","",$N129-TODAY()),IF($P129="","",$P129-TODAY()))))</f>
        <v/>
      </c>
      <c r="R129" s="37" t="str">
        <f aca="true">IF($D129="","",IF(IFERROR(INDEX(Settings!$C$11:$C$19,MATCH($L129,Settings!$B$11:$B$19,0)),"Yes")="No","CLOSED",IF($M129="",IF($N129="","ON TRACK",IF($N129&lt;TODAY(),"OVERDUE",IF($N129-TODAY()&lt;=Settings!$C$5,"DUE SOON","ON TRACK"))),IF($P129&lt;=TODAY(),"FOLLOW-UP DUE","ON TRACK"))))</f>
        <v/>
      </c>
      <c r="S129" s="35"/>
      <c r="T129" s="35"/>
      <c r="U129" s="38"/>
      <c r="V129" s="34"/>
      <c r="W129" s="35" t="str">
        <f aca="false">IF(OR($R129="OVERDUE",$R129="DUE SOON",$R129="FOLLOW-UP DUE"),MAX(W$3:W128)+1,"")</f>
        <v/>
      </c>
    </row>
    <row r="130" customFormat="false" ht="15" hidden="false" customHeight="false" outlineLevel="0" collapsed="false">
      <c r="A130" s="33" t="str">
        <f aca="false">IF($D130="","","JOB-"&amp;TEXT(ROW()-3,"000"))</f>
        <v/>
      </c>
      <c r="B130" s="34"/>
      <c r="C130" s="35"/>
      <c r="D130" s="35"/>
      <c r="E130" s="35"/>
      <c r="F130" s="35"/>
      <c r="G130" s="33"/>
      <c r="H130" s="35"/>
      <c r="I130" s="35"/>
      <c r="J130" s="35"/>
      <c r="K130" s="33"/>
      <c r="L130" s="33"/>
      <c r="M130" s="34"/>
      <c r="N130" s="34"/>
      <c r="O130" s="34"/>
      <c r="P130" s="34" t="str">
        <f aca="false">IF(OR($D130="",$M130=""),"",IF(IFERROR(INDEX(Settings!$C$11:$C$19,MATCH($L130,Settings!$B$11:$B$19,0)),"Yes")="No","",MAX($M130,$O130)+Settings!$C$6))</f>
        <v/>
      </c>
      <c r="Q130" s="36" t="str">
        <f aca="true">IF($D130="","",IF(IFERROR(INDEX(Settings!$C$11:$C$19,MATCH($L130,Settings!$B$11:$B$19,0)),"Yes")="No","",IF($M130="",IF($N130="","",$N130-TODAY()),IF($P130="","",$P130-TODAY()))))</f>
        <v/>
      </c>
      <c r="R130" s="37" t="str">
        <f aca="true">IF($D130="","",IF(IFERROR(INDEX(Settings!$C$11:$C$19,MATCH($L130,Settings!$B$11:$B$19,0)),"Yes")="No","CLOSED",IF($M130="",IF($N130="","ON TRACK",IF($N130&lt;TODAY(),"OVERDUE",IF($N130-TODAY()&lt;=Settings!$C$5,"DUE SOON","ON TRACK"))),IF($P130&lt;=TODAY(),"FOLLOW-UP DUE","ON TRACK"))))</f>
        <v/>
      </c>
      <c r="S130" s="35"/>
      <c r="T130" s="35"/>
      <c r="U130" s="38"/>
      <c r="V130" s="34"/>
      <c r="W130" s="35" t="str">
        <f aca="false">IF(OR($R130="OVERDUE",$R130="DUE SOON",$R130="FOLLOW-UP DUE"),MAX(W$3:W129)+1,"")</f>
        <v/>
      </c>
    </row>
    <row r="131" customFormat="false" ht="15" hidden="false" customHeight="false" outlineLevel="0" collapsed="false">
      <c r="A131" s="33" t="str">
        <f aca="false">IF($D131="","","JOB-"&amp;TEXT(ROW()-3,"000"))</f>
        <v/>
      </c>
      <c r="B131" s="34"/>
      <c r="C131" s="35"/>
      <c r="D131" s="35"/>
      <c r="E131" s="35"/>
      <c r="F131" s="35"/>
      <c r="G131" s="33"/>
      <c r="H131" s="35"/>
      <c r="I131" s="35"/>
      <c r="J131" s="35"/>
      <c r="K131" s="33"/>
      <c r="L131" s="33"/>
      <c r="M131" s="34"/>
      <c r="N131" s="34"/>
      <c r="O131" s="34"/>
      <c r="P131" s="34" t="str">
        <f aca="false">IF(OR($D131="",$M131=""),"",IF(IFERROR(INDEX(Settings!$C$11:$C$19,MATCH($L131,Settings!$B$11:$B$19,0)),"Yes")="No","",MAX($M131,$O131)+Settings!$C$6))</f>
        <v/>
      </c>
      <c r="Q131" s="36" t="str">
        <f aca="true">IF($D131="","",IF(IFERROR(INDEX(Settings!$C$11:$C$19,MATCH($L131,Settings!$B$11:$B$19,0)),"Yes")="No","",IF($M131="",IF($N131="","",$N131-TODAY()),IF($P131="","",$P131-TODAY()))))</f>
        <v/>
      </c>
      <c r="R131" s="37" t="str">
        <f aca="true">IF($D131="","",IF(IFERROR(INDEX(Settings!$C$11:$C$19,MATCH($L131,Settings!$B$11:$B$19,0)),"Yes")="No","CLOSED",IF($M131="",IF($N131="","ON TRACK",IF($N131&lt;TODAY(),"OVERDUE",IF($N131-TODAY()&lt;=Settings!$C$5,"DUE SOON","ON TRACK"))),IF($P131&lt;=TODAY(),"FOLLOW-UP DUE","ON TRACK"))))</f>
        <v/>
      </c>
      <c r="S131" s="35"/>
      <c r="T131" s="35"/>
      <c r="U131" s="38"/>
      <c r="V131" s="34"/>
      <c r="W131" s="35" t="str">
        <f aca="false">IF(OR($R131="OVERDUE",$R131="DUE SOON",$R131="FOLLOW-UP DUE"),MAX(W$3:W130)+1,"")</f>
        <v/>
      </c>
    </row>
    <row r="132" customFormat="false" ht="15" hidden="false" customHeight="false" outlineLevel="0" collapsed="false">
      <c r="A132" s="33" t="str">
        <f aca="false">IF($D132="","","JOB-"&amp;TEXT(ROW()-3,"000"))</f>
        <v/>
      </c>
      <c r="B132" s="34"/>
      <c r="C132" s="35"/>
      <c r="D132" s="35"/>
      <c r="E132" s="35"/>
      <c r="F132" s="35"/>
      <c r="G132" s="33"/>
      <c r="H132" s="35"/>
      <c r="I132" s="35"/>
      <c r="J132" s="35"/>
      <c r="K132" s="33"/>
      <c r="L132" s="33"/>
      <c r="M132" s="34"/>
      <c r="N132" s="34"/>
      <c r="O132" s="34"/>
      <c r="P132" s="34" t="str">
        <f aca="false">IF(OR($D132="",$M132=""),"",IF(IFERROR(INDEX(Settings!$C$11:$C$19,MATCH($L132,Settings!$B$11:$B$19,0)),"Yes")="No","",MAX($M132,$O132)+Settings!$C$6))</f>
        <v/>
      </c>
      <c r="Q132" s="36" t="str">
        <f aca="true">IF($D132="","",IF(IFERROR(INDEX(Settings!$C$11:$C$19,MATCH($L132,Settings!$B$11:$B$19,0)),"Yes")="No","",IF($M132="",IF($N132="","",$N132-TODAY()),IF($P132="","",$P132-TODAY()))))</f>
        <v/>
      </c>
      <c r="R132" s="37" t="str">
        <f aca="true">IF($D132="","",IF(IFERROR(INDEX(Settings!$C$11:$C$19,MATCH($L132,Settings!$B$11:$B$19,0)),"Yes")="No","CLOSED",IF($M132="",IF($N132="","ON TRACK",IF($N132&lt;TODAY(),"OVERDUE",IF($N132-TODAY()&lt;=Settings!$C$5,"DUE SOON","ON TRACK"))),IF($P132&lt;=TODAY(),"FOLLOW-UP DUE","ON TRACK"))))</f>
        <v/>
      </c>
      <c r="S132" s="35"/>
      <c r="T132" s="35"/>
      <c r="U132" s="38"/>
      <c r="V132" s="34"/>
      <c r="W132" s="35" t="str">
        <f aca="false">IF(OR($R132="OVERDUE",$R132="DUE SOON",$R132="FOLLOW-UP DUE"),MAX(W$3:W131)+1,"")</f>
        <v/>
      </c>
    </row>
    <row r="133" customFormat="false" ht="15" hidden="false" customHeight="false" outlineLevel="0" collapsed="false">
      <c r="A133" s="33" t="str">
        <f aca="false">IF($D133="","","JOB-"&amp;TEXT(ROW()-3,"000"))</f>
        <v/>
      </c>
      <c r="B133" s="34"/>
      <c r="C133" s="35"/>
      <c r="D133" s="35"/>
      <c r="E133" s="35"/>
      <c r="F133" s="35"/>
      <c r="G133" s="33"/>
      <c r="H133" s="35"/>
      <c r="I133" s="35"/>
      <c r="J133" s="35"/>
      <c r="K133" s="33"/>
      <c r="L133" s="33"/>
      <c r="M133" s="34"/>
      <c r="N133" s="34"/>
      <c r="O133" s="34"/>
      <c r="P133" s="34" t="str">
        <f aca="false">IF(OR($D133="",$M133=""),"",IF(IFERROR(INDEX(Settings!$C$11:$C$19,MATCH($L133,Settings!$B$11:$B$19,0)),"Yes")="No","",MAX($M133,$O133)+Settings!$C$6))</f>
        <v/>
      </c>
      <c r="Q133" s="36" t="str">
        <f aca="true">IF($D133="","",IF(IFERROR(INDEX(Settings!$C$11:$C$19,MATCH($L133,Settings!$B$11:$B$19,0)),"Yes")="No","",IF($M133="",IF($N133="","",$N133-TODAY()),IF($P133="","",$P133-TODAY()))))</f>
        <v/>
      </c>
      <c r="R133" s="37" t="str">
        <f aca="true">IF($D133="","",IF(IFERROR(INDEX(Settings!$C$11:$C$19,MATCH($L133,Settings!$B$11:$B$19,0)),"Yes")="No","CLOSED",IF($M133="",IF($N133="","ON TRACK",IF($N133&lt;TODAY(),"OVERDUE",IF($N133-TODAY()&lt;=Settings!$C$5,"DUE SOON","ON TRACK"))),IF($P133&lt;=TODAY(),"FOLLOW-UP DUE","ON TRACK"))))</f>
        <v/>
      </c>
      <c r="S133" s="35"/>
      <c r="T133" s="35"/>
      <c r="U133" s="38"/>
      <c r="V133" s="34"/>
      <c r="W133" s="35" t="str">
        <f aca="false">IF(OR($R133="OVERDUE",$R133="DUE SOON",$R133="FOLLOW-UP DUE"),MAX(W$3:W132)+1,"")</f>
        <v/>
      </c>
    </row>
    <row r="134" customFormat="false" ht="15" hidden="false" customHeight="false" outlineLevel="0" collapsed="false">
      <c r="A134" s="33" t="str">
        <f aca="false">IF($D134="","","JOB-"&amp;TEXT(ROW()-3,"000"))</f>
        <v/>
      </c>
      <c r="B134" s="34"/>
      <c r="C134" s="35"/>
      <c r="D134" s="35"/>
      <c r="E134" s="35"/>
      <c r="F134" s="35"/>
      <c r="G134" s="33"/>
      <c r="H134" s="35"/>
      <c r="I134" s="35"/>
      <c r="J134" s="35"/>
      <c r="K134" s="33"/>
      <c r="L134" s="33"/>
      <c r="M134" s="34"/>
      <c r="N134" s="34"/>
      <c r="O134" s="34"/>
      <c r="P134" s="34" t="str">
        <f aca="false">IF(OR($D134="",$M134=""),"",IF(IFERROR(INDEX(Settings!$C$11:$C$19,MATCH($L134,Settings!$B$11:$B$19,0)),"Yes")="No","",MAX($M134,$O134)+Settings!$C$6))</f>
        <v/>
      </c>
      <c r="Q134" s="36" t="str">
        <f aca="true">IF($D134="","",IF(IFERROR(INDEX(Settings!$C$11:$C$19,MATCH($L134,Settings!$B$11:$B$19,0)),"Yes")="No","",IF($M134="",IF($N134="","",$N134-TODAY()),IF($P134="","",$P134-TODAY()))))</f>
        <v/>
      </c>
      <c r="R134" s="37" t="str">
        <f aca="true">IF($D134="","",IF(IFERROR(INDEX(Settings!$C$11:$C$19,MATCH($L134,Settings!$B$11:$B$19,0)),"Yes")="No","CLOSED",IF($M134="",IF($N134="","ON TRACK",IF($N134&lt;TODAY(),"OVERDUE",IF($N134-TODAY()&lt;=Settings!$C$5,"DUE SOON","ON TRACK"))),IF($P134&lt;=TODAY(),"FOLLOW-UP DUE","ON TRACK"))))</f>
        <v/>
      </c>
      <c r="S134" s="35"/>
      <c r="T134" s="35"/>
      <c r="U134" s="38"/>
      <c r="V134" s="34"/>
      <c r="W134" s="35" t="str">
        <f aca="false">IF(OR($R134="OVERDUE",$R134="DUE SOON",$R134="FOLLOW-UP DUE"),MAX(W$3:W133)+1,"")</f>
        <v/>
      </c>
    </row>
    <row r="135" customFormat="false" ht="15" hidden="false" customHeight="false" outlineLevel="0" collapsed="false">
      <c r="A135" s="33" t="str">
        <f aca="false">IF($D135="","","JOB-"&amp;TEXT(ROW()-3,"000"))</f>
        <v/>
      </c>
      <c r="B135" s="34"/>
      <c r="C135" s="35"/>
      <c r="D135" s="35"/>
      <c r="E135" s="35"/>
      <c r="F135" s="35"/>
      <c r="G135" s="33"/>
      <c r="H135" s="35"/>
      <c r="I135" s="35"/>
      <c r="J135" s="35"/>
      <c r="K135" s="33"/>
      <c r="L135" s="33"/>
      <c r="M135" s="34"/>
      <c r="N135" s="34"/>
      <c r="O135" s="34"/>
      <c r="P135" s="34" t="str">
        <f aca="false">IF(OR($D135="",$M135=""),"",IF(IFERROR(INDEX(Settings!$C$11:$C$19,MATCH($L135,Settings!$B$11:$B$19,0)),"Yes")="No","",MAX($M135,$O135)+Settings!$C$6))</f>
        <v/>
      </c>
      <c r="Q135" s="36" t="str">
        <f aca="true">IF($D135="","",IF(IFERROR(INDEX(Settings!$C$11:$C$19,MATCH($L135,Settings!$B$11:$B$19,0)),"Yes")="No","",IF($M135="",IF($N135="","",$N135-TODAY()),IF($P135="","",$P135-TODAY()))))</f>
        <v/>
      </c>
      <c r="R135" s="37" t="str">
        <f aca="true">IF($D135="","",IF(IFERROR(INDEX(Settings!$C$11:$C$19,MATCH($L135,Settings!$B$11:$B$19,0)),"Yes")="No","CLOSED",IF($M135="",IF($N135="","ON TRACK",IF($N135&lt;TODAY(),"OVERDUE",IF($N135-TODAY()&lt;=Settings!$C$5,"DUE SOON","ON TRACK"))),IF($P135&lt;=TODAY(),"FOLLOW-UP DUE","ON TRACK"))))</f>
        <v/>
      </c>
      <c r="S135" s="35"/>
      <c r="T135" s="35"/>
      <c r="U135" s="38"/>
      <c r="V135" s="34"/>
      <c r="W135" s="35" t="str">
        <f aca="false">IF(OR($R135="OVERDUE",$R135="DUE SOON",$R135="FOLLOW-UP DUE"),MAX(W$3:W134)+1,"")</f>
        <v/>
      </c>
    </row>
    <row r="136" customFormat="false" ht="15" hidden="false" customHeight="false" outlineLevel="0" collapsed="false">
      <c r="A136" s="33" t="str">
        <f aca="false">IF($D136="","","JOB-"&amp;TEXT(ROW()-3,"000"))</f>
        <v/>
      </c>
      <c r="B136" s="34"/>
      <c r="C136" s="35"/>
      <c r="D136" s="35"/>
      <c r="E136" s="35"/>
      <c r="F136" s="35"/>
      <c r="G136" s="33"/>
      <c r="H136" s="35"/>
      <c r="I136" s="35"/>
      <c r="J136" s="35"/>
      <c r="K136" s="33"/>
      <c r="L136" s="33"/>
      <c r="M136" s="34"/>
      <c r="N136" s="34"/>
      <c r="O136" s="34"/>
      <c r="P136" s="34" t="str">
        <f aca="false">IF(OR($D136="",$M136=""),"",IF(IFERROR(INDEX(Settings!$C$11:$C$19,MATCH($L136,Settings!$B$11:$B$19,0)),"Yes")="No","",MAX($M136,$O136)+Settings!$C$6))</f>
        <v/>
      </c>
      <c r="Q136" s="36" t="str">
        <f aca="true">IF($D136="","",IF(IFERROR(INDEX(Settings!$C$11:$C$19,MATCH($L136,Settings!$B$11:$B$19,0)),"Yes")="No","",IF($M136="",IF($N136="","",$N136-TODAY()),IF($P136="","",$P136-TODAY()))))</f>
        <v/>
      </c>
      <c r="R136" s="37" t="str">
        <f aca="true">IF($D136="","",IF(IFERROR(INDEX(Settings!$C$11:$C$19,MATCH($L136,Settings!$B$11:$B$19,0)),"Yes")="No","CLOSED",IF($M136="",IF($N136="","ON TRACK",IF($N136&lt;TODAY(),"OVERDUE",IF($N136-TODAY()&lt;=Settings!$C$5,"DUE SOON","ON TRACK"))),IF($P136&lt;=TODAY(),"FOLLOW-UP DUE","ON TRACK"))))</f>
        <v/>
      </c>
      <c r="S136" s="35"/>
      <c r="T136" s="35"/>
      <c r="U136" s="38"/>
      <c r="V136" s="34"/>
      <c r="W136" s="35" t="str">
        <f aca="false">IF(OR($R136="OVERDUE",$R136="DUE SOON",$R136="FOLLOW-UP DUE"),MAX(W$3:W135)+1,"")</f>
        <v/>
      </c>
    </row>
    <row r="137" customFormat="false" ht="15" hidden="false" customHeight="false" outlineLevel="0" collapsed="false">
      <c r="A137" s="33" t="str">
        <f aca="false">IF($D137="","","JOB-"&amp;TEXT(ROW()-3,"000"))</f>
        <v/>
      </c>
      <c r="B137" s="34"/>
      <c r="C137" s="35"/>
      <c r="D137" s="35"/>
      <c r="E137" s="35"/>
      <c r="F137" s="35"/>
      <c r="G137" s="33"/>
      <c r="H137" s="35"/>
      <c r="I137" s="35"/>
      <c r="J137" s="35"/>
      <c r="K137" s="33"/>
      <c r="L137" s="33"/>
      <c r="M137" s="34"/>
      <c r="N137" s="34"/>
      <c r="O137" s="34"/>
      <c r="P137" s="34" t="str">
        <f aca="false">IF(OR($D137="",$M137=""),"",IF(IFERROR(INDEX(Settings!$C$11:$C$19,MATCH($L137,Settings!$B$11:$B$19,0)),"Yes")="No","",MAX($M137,$O137)+Settings!$C$6))</f>
        <v/>
      </c>
      <c r="Q137" s="36" t="str">
        <f aca="true">IF($D137="","",IF(IFERROR(INDEX(Settings!$C$11:$C$19,MATCH($L137,Settings!$B$11:$B$19,0)),"Yes")="No","",IF($M137="",IF($N137="","",$N137-TODAY()),IF($P137="","",$P137-TODAY()))))</f>
        <v/>
      </c>
      <c r="R137" s="37" t="str">
        <f aca="true">IF($D137="","",IF(IFERROR(INDEX(Settings!$C$11:$C$19,MATCH($L137,Settings!$B$11:$B$19,0)),"Yes")="No","CLOSED",IF($M137="",IF($N137="","ON TRACK",IF($N137&lt;TODAY(),"OVERDUE",IF($N137-TODAY()&lt;=Settings!$C$5,"DUE SOON","ON TRACK"))),IF($P137&lt;=TODAY(),"FOLLOW-UP DUE","ON TRACK"))))</f>
        <v/>
      </c>
      <c r="S137" s="35"/>
      <c r="T137" s="35"/>
      <c r="U137" s="38"/>
      <c r="V137" s="34"/>
      <c r="W137" s="35" t="str">
        <f aca="false">IF(OR($R137="OVERDUE",$R137="DUE SOON",$R137="FOLLOW-UP DUE"),MAX(W$3:W136)+1,"")</f>
        <v/>
      </c>
    </row>
    <row r="138" customFormat="false" ht="15" hidden="false" customHeight="false" outlineLevel="0" collapsed="false">
      <c r="A138" s="33" t="str">
        <f aca="false">IF($D138="","","JOB-"&amp;TEXT(ROW()-3,"000"))</f>
        <v/>
      </c>
      <c r="B138" s="34"/>
      <c r="C138" s="35"/>
      <c r="D138" s="35"/>
      <c r="E138" s="35"/>
      <c r="F138" s="35"/>
      <c r="G138" s="33"/>
      <c r="H138" s="35"/>
      <c r="I138" s="35"/>
      <c r="J138" s="35"/>
      <c r="K138" s="33"/>
      <c r="L138" s="33"/>
      <c r="M138" s="34"/>
      <c r="N138" s="34"/>
      <c r="O138" s="34"/>
      <c r="P138" s="34" t="str">
        <f aca="false">IF(OR($D138="",$M138=""),"",IF(IFERROR(INDEX(Settings!$C$11:$C$19,MATCH($L138,Settings!$B$11:$B$19,0)),"Yes")="No","",MAX($M138,$O138)+Settings!$C$6))</f>
        <v/>
      </c>
      <c r="Q138" s="36" t="str">
        <f aca="true">IF($D138="","",IF(IFERROR(INDEX(Settings!$C$11:$C$19,MATCH($L138,Settings!$B$11:$B$19,0)),"Yes")="No","",IF($M138="",IF($N138="","",$N138-TODAY()),IF($P138="","",$P138-TODAY()))))</f>
        <v/>
      </c>
      <c r="R138" s="37" t="str">
        <f aca="true">IF($D138="","",IF(IFERROR(INDEX(Settings!$C$11:$C$19,MATCH($L138,Settings!$B$11:$B$19,0)),"Yes")="No","CLOSED",IF($M138="",IF($N138="","ON TRACK",IF($N138&lt;TODAY(),"OVERDUE",IF($N138-TODAY()&lt;=Settings!$C$5,"DUE SOON","ON TRACK"))),IF($P138&lt;=TODAY(),"FOLLOW-UP DUE","ON TRACK"))))</f>
        <v/>
      </c>
      <c r="S138" s="35"/>
      <c r="T138" s="35"/>
      <c r="U138" s="38"/>
      <c r="V138" s="34"/>
      <c r="W138" s="35" t="str">
        <f aca="false">IF(OR($R138="OVERDUE",$R138="DUE SOON",$R138="FOLLOW-UP DUE"),MAX(W$3:W137)+1,"")</f>
        <v/>
      </c>
    </row>
    <row r="139" customFormat="false" ht="15" hidden="false" customHeight="false" outlineLevel="0" collapsed="false">
      <c r="A139" s="33" t="str">
        <f aca="false">IF($D139="","","JOB-"&amp;TEXT(ROW()-3,"000"))</f>
        <v/>
      </c>
      <c r="B139" s="34"/>
      <c r="C139" s="35"/>
      <c r="D139" s="35"/>
      <c r="E139" s="35"/>
      <c r="F139" s="35"/>
      <c r="G139" s="33"/>
      <c r="H139" s="35"/>
      <c r="I139" s="35"/>
      <c r="J139" s="35"/>
      <c r="K139" s="33"/>
      <c r="L139" s="33"/>
      <c r="M139" s="34"/>
      <c r="N139" s="34"/>
      <c r="O139" s="34"/>
      <c r="P139" s="34" t="str">
        <f aca="false">IF(OR($D139="",$M139=""),"",IF(IFERROR(INDEX(Settings!$C$11:$C$19,MATCH($L139,Settings!$B$11:$B$19,0)),"Yes")="No","",MAX($M139,$O139)+Settings!$C$6))</f>
        <v/>
      </c>
      <c r="Q139" s="36" t="str">
        <f aca="true">IF($D139="","",IF(IFERROR(INDEX(Settings!$C$11:$C$19,MATCH($L139,Settings!$B$11:$B$19,0)),"Yes")="No","",IF($M139="",IF($N139="","",$N139-TODAY()),IF($P139="","",$P139-TODAY()))))</f>
        <v/>
      </c>
      <c r="R139" s="37" t="str">
        <f aca="true">IF($D139="","",IF(IFERROR(INDEX(Settings!$C$11:$C$19,MATCH($L139,Settings!$B$11:$B$19,0)),"Yes")="No","CLOSED",IF($M139="",IF($N139="","ON TRACK",IF($N139&lt;TODAY(),"OVERDUE",IF($N139-TODAY()&lt;=Settings!$C$5,"DUE SOON","ON TRACK"))),IF($P139&lt;=TODAY(),"FOLLOW-UP DUE","ON TRACK"))))</f>
        <v/>
      </c>
      <c r="S139" s="35"/>
      <c r="T139" s="35"/>
      <c r="U139" s="38"/>
      <c r="V139" s="34"/>
      <c r="W139" s="35" t="str">
        <f aca="false">IF(OR($R139="OVERDUE",$R139="DUE SOON",$R139="FOLLOW-UP DUE"),MAX(W$3:W138)+1,"")</f>
        <v/>
      </c>
    </row>
    <row r="140" customFormat="false" ht="15" hidden="false" customHeight="false" outlineLevel="0" collapsed="false">
      <c r="A140" s="33" t="str">
        <f aca="false">IF($D140="","","JOB-"&amp;TEXT(ROW()-3,"000"))</f>
        <v/>
      </c>
      <c r="B140" s="34"/>
      <c r="C140" s="35"/>
      <c r="D140" s="35"/>
      <c r="E140" s="35"/>
      <c r="F140" s="35"/>
      <c r="G140" s="33"/>
      <c r="H140" s="35"/>
      <c r="I140" s="35"/>
      <c r="J140" s="35"/>
      <c r="K140" s="33"/>
      <c r="L140" s="33"/>
      <c r="M140" s="34"/>
      <c r="N140" s="34"/>
      <c r="O140" s="34"/>
      <c r="P140" s="34" t="str">
        <f aca="false">IF(OR($D140="",$M140=""),"",IF(IFERROR(INDEX(Settings!$C$11:$C$19,MATCH($L140,Settings!$B$11:$B$19,0)),"Yes")="No","",MAX($M140,$O140)+Settings!$C$6))</f>
        <v/>
      </c>
      <c r="Q140" s="36" t="str">
        <f aca="true">IF($D140="","",IF(IFERROR(INDEX(Settings!$C$11:$C$19,MATCH($L140,Settings!$B$11:$B$19,0)),"Yes")="No","",IF($M140="",IF($N140="","",$N140-TODAY()),IF($P140="","",$P140-TODAY()))))</f>
        <v/>
      </c>
      <c r="R140" s="37" t="str">
        <f aca="true">IF($D140="","",IF(IFERROR(INDEX(Settings!$C$11:$C$19,MATCH($L140,Settings!$B$11:$B$19,0)),"Yes")="No","CLOSED",IF($M140="",IF($N140="","ON TRACK",IF($N140&lt;TODAY(),"OVERDUE",IF($N140-TODAY()&lt;=Settings!$C$5,"DUE SOON","ON TRACK"))),IF($P140&lt;=TODAY(),"FOLLOW-UP DUE","ON TRACK"))))</f>
        <v/>
      </c>
      <c r="S140" s="35"/>
      <c r="T140" s="35"/>
      <c r="U140" s="38"/>
      <c r="V140" s="34"/>
      <c r="W140" s="35" t="str">
        <f aca="false">IF(OR($R140="OVERDUE",$R140="DUE SOON",$R140="FOLLOW-UP DUE"),MAX(W$3:W139)+1,"")</f>
        <v/>
      </c>
    </row>
    <row r="141" customFormat="false" ht="15" hidden="false" customHeight="false" outlineLevel="0" collapsed="false">
      <c r="A141" s="33" t="str">
        <f aca="false">IF($D141="","","JOB-"&amp;TEXT(ROW()-3,"000"))</f>
        <v/>
      </c>
      <c r="B141" s="34"/>
      <c r="C141" s="35"/>
      <c r="D141" s="35"/>
      <c r="E141" s="35"/>
      <c r="F141" s="35"/>
      <c r="G141" s="33"/>
      <c r="H141" s="35"/>
      <c r="I141" s="35"/>
      <c r="J141" s="35"/>
      <c r="K141" s="33"/>
      <c r="L141" s="33"/>
      <c r="M141" s="34"/>
      <c r="N141" s="34"/>
      <c r="O141" s="34"/>
      <c r="P141" s="34" t="str">
        <f aca="false">IF(OR($D141="",$M141=""),"",IF(IFERROR(INDEX(Settings!$C$11:$C$19,MATCH($L141,Settings!$B$11:$B$19,0)),"Yes")="No","",MAX($M141,$O141)+Settings!$C$6))</f>
        <v/>
      </c>
      <c r="Q141" s="36" t="str">
        <f aca="true">IF($D141="","",IF(IFERROR(INDEX(Settings!$C$11:$C$19,MATCH($L141,Settings!$B$11:$B$19,0)),"Yes")="No","",IF($M141="",IF($N141="","",$N141-TODAY()),IF($P141="","",$P141-TODAY()))))</f>
        <v/>
      </c>
      <c r="R141" s="37" t="str">
        <f aca="true">IF($D141="","",IF(IFERROR(INDEX(Settings!$C$11:$C$19,MATCH($L141,Settings!$B$11:$B$19,0)),"Yes")="No","CLOSED",IF($M141="",IF($N141="","ON TRACK",IF($N141&lt;TODAY(),"OVERDUE",IF($N141-TODAY()&lt;=Settings!$C$5,"DUE SOON","ON TRACK"))),IF($P141&lt;=TODAY(),"FOLLOW-UP DUE","ON TRACK"))))</f>
        <v/>
      </c>
      <c r="S141" s="35"/>
      <c r="T141" s="35"/>
      <c r="U141" s="38"/>
      <c r="V141" s="34"/>
      <c r="W141" s="35" t="str">
        <f aca="false">IF(OR($R141="OVERDUE",$R141="DUE SOON",$R141="FOLLOW-UP DUE"),MAX(W$3:W140)+1,"")</f>
        <v/>
      </c>
    </row>
    <row r="142" customFormat="false" ht="15" hidden="false" customHeight="false" outlineLevel="0" collapsed="false">
      <c r="A142" s="33" t="str">
        <f aca="false">IF($D142="","","JOB-"&amp;TEXT(ROW()-3,"000"))</f>
        <v/>
      </c>
      <c r="B142" s="34"/>
      <c r="C142" s="35"/>
      <c r="D142" s="35"/>
      <c r="E142" s="35"/>
      <c r="F142" s="35"/>
      <c r="G142" s="33"/>
      <c r="H142" s="35"/>
      <c r="I142" s="35"/>
      <c r="J142" s="35"/>
      <c r="K142" s="33"/>
      <c r="L142" s="33"/>
      <c r="M142" s="34"/>
      <c r="N142" s="34"/>
      <c r="O142" s="34"/>
      <c r="P142" s="34" t="str">
        <f aca="false">IF(OR($D142="",$M142=""),"",IF(IFERROR(INDEX(Settings!$C$11:$C$19,MATCH($L142,Settings!$B$11:$B$19,0)),"Yes")="No","",MAX($M142,$O142)+Settings!$C$6))</f>
        <v/>
      </c>
      <c r="Q142" s="36" t="str">
        <f aca="true">IF($D142="","",IF(IFERROR(INDEX(Settings!$C$11:$C$19,MATCH($L142,Settings!$B$11:$B$19,0)),"Yes")="No","",IF($M142="",IF($N142="","",$N142-TODAY()),IF($P142="","",$P142-TODAY()))))</f>
        <v/>
      </c>
      <c r="R142" s="37" t="str">
        <f aca="true">IF($D142="","",IF(IFERROR(INDEX(Settings!$C$11:$C$19,MATCH($L142,Settings!$B$11:$B$19,0)),"Yes")="No","CLOSED",IF($M142="",IF($N142="","ON TRACK",IF($N142&lt;TODAY(),"OVERDUE",IF($N142-TODAY()&lt;=Settings!$C$5,"DUE SOON","ON TRACK"))),IF($P142&lt;=TODAY(),"FOLLOW-UP DUE","ON TRACK"))))</f>
        <v/>
      </c>
      <c r="S142" s="35"/>
      <c r="T142" s="35"/>
      <c r="U142" s="38"/>
      <c r="V142" s="34"/>
      <c r="W142" s="35" t="str">
        <f aca="false">IF(OR($R142="OVERDUE",$R142="DUE SOON",$R142="FOLLOW-UP DUE"),MAX(W$3:W141)+1,"")</f>
        <v/>
      </c>
    </row>
    <row r="143" customFormat="false" ht="15" hidden="false" customHeight="false" outlineLevel="0" collapsed="false">
      <c r="A143" s="33" t="str">
        <f aca="false">IF($D143="","","JOB-"&amp;TEXT(ROW()-3,"000"))</f>
        <v/>
      </c>
      <c r="B143" s="34"/>
      <c r="C143" s="35"/>
      <c r="D143" s="35"/>
      <c r="E143" s="35"/>
      <c r="F143" s="35"/>
      <c r="G143" s="33"/>
      <c r="H143" s="35"/>
      <c r="I143" s="35"/>
      <c r="J143" s="35"/>
      <c r="K143" s="33"/>
      <c r="L143" s="33"/>
      <c r="M143" s="34"/>
      <c r="N143" s="34"/>
      <c r="O143" s="34"/>
      <c r="P143" s="34" t="str">
        <f aca="false">IF(OR($D143="",$M143=""),"",IF(IFERROR(INDEX(Settings!$C$11:$C$19,MATCH($L143,Settings!$B$11:$B$19,0)),"Yes")="No","",MAX($M143,$O143)+Settings!$C$6))</f>
        <v/>
      </c>
      <c r="Q143" s="36" t="str">
        <f aca="true">IF($D143="","",IF(IFERROR(INDEX(Settings!$C$11:$C$19,MATCH($L143,Settings!$B$11:$B$19,0)),"Yes")="No","",IF($M143="",IF($N143="","",$N143-TODAY()),IF($P143="","",$P143-TODAY()))))</f>
        <v/>
      </c>
      <c r="R143" s="37" t="str">
        <f aca="true">IF($D143="","",IF(IFERROR(INDEX(Settings!$C$11:$C$19,MATCH($L143,Settings!$B$11:$B$19,0)),"Yes")="No","CLOSED",IF($M143="",IF($N143="","ON TRACK",IF($N143&lt;TODAY(),"OVERDUE",IF($N143-TODAY()&lt;=Settings!$C$5,"DUE SOON","ON TRACK"))),IF($P143&lt;=TODAY(),"FOLLOW-UP DUE","ON TRACK"))))</f>
        <v/>
      </c>
      <c r="S143" s="35"/>
      <c r="T143" s="35"/>
      <c r="U143" s="38"/>
      <c r="V143" s="34"/>
      <c r="W143" s="35" t="str">
        <f aca="false">IF(OR($R143="OVERDUE",$R143="DUE SOON",$R143="FOLLOW-UP DUE"),MAX(W$3:W142)+1,"")</f>
        <v/>
      </c>
    </row>
    <row r="144" customFormat="false" ht="15" hidden="false" customHeight="false" outlineLevel="0" collapsed="false">
      <c r="A144" s="33" t="str">
        <f aca="false">IF($D144="","","JOB-"&amp;TEXT(ROW()-3,"000"))</f>
        <v/>
      </c>
      <c r="B144" s="34"/>
      <c r="C144" s="35"/>
      <c r="D144" s="35"/>
      <c r="E144" s="35"/>
      <c r="F144" s="35"/>
      <c r="G144" s="33"/>
      <c r="H144" s="35"/>
      <c r="I144" s="35"/>
      <c r="J144" s="35"/>
      <c r="K144" s="33"/>
      <c r="L144" s="33"/>
      <c r="M144" s="34"/>
      <c r="N144" s="34"/>
      <c r="O144" s="34"/>
      <c r="P144" s="34" t="str">
        <f aca="false">IF(OR($D144="",$M144=""),"",IF(IFERROR(INDEX(Settings!$C$11:$C$19,MATCH($L144,Settings!$B$11:$B$19,0)),"Yes")="No","",MAX($M144,$O144)+Settings!$C$6))</f>
        <v/>
      </c>
      <c r="Q144" s="36" t="str">
        <f aca="true">IF($D144="","",IF(IFERROR(INDEX(Settings!$C$11:$C$19,MATCH($L144,Settings!$B$11:$B$19,0)),"Yes")="No","",IF($M144="",IF($N144="","",$N144-TODAY()),IF($P144="","",$P144-TODAY()))))</f>
        <v/>
      </c>
      <c r="R144" s="37" t="str">
        <f aca="true">IF($D144="","",IF(IFERROR(INDEX(Settings!$C$11:$C$19,MATCH($L144,Settings!$B$11:$B$19,0)),"Yes")="No","CLOSED",IF($M144="",IF($N144="","ON TRACK",IF($N144&lt;TODAY(),"OVERDUE",IF($N144-TODAY()&lt;=Settings!$C$5,"DUE SOON","ON TRACK"))),IF($P144&lt;=TODAY(),"FOLLOW-UP DUE","ON TRACK"))))</f>
        <v/>
      </c>
      <c r="S144" s="35"/>
      <c r="T144" s="35"/>
      <c r="U144" s="38"/>
      <c r="V144" s="34"/>
      <c r="W144" s="35" t="str">
        <f aca="false">IF(OR($R144="OVERDUE",$R144="DUE SOON",$R144="FOLLOW-UP DUE"),MAX(W$3:W143)+1,"")</f>
        <v/>
      </c>
    </row>
    <row r="145" customFormat="false" ht="15" hidden="false" customHeight="false" outlineLevel="0" collapsed="false">
      <c r="A145" s="33" t="str">
        <f aca="false">IF($D145="","","JOB-"&amp;TEXT(ROW()-3,"000"))</f>
        <v/>
      </c>
      <c r="B145" s="34"/>
      <c r="C145" s="35"/>
      <c r="D145" s="35"/>
      <c r="E145" s="35"/>
      <c r="F145" s="35"/>
      <c r="G145" s="33"/>
      <c r="H145" s="35"/>
      <c r="I145" s="35"/>
      <c r="J145" s="35"/>
      <c r="K145" s="33"/>
      <c r="L145" s="33"/>
      <c r="M145" s="34"/>
      <c r="N145" s="34"/>
      <c r="O145" s="34"/>
      <c r="P145" s="34" t="str">
        <f aca="false">IF(OR($D145="",$M145=""),"",IF(IFERROR(INDEX(Settings!$C$11:$C$19,MATCH($L145,Settings!$B$11:$B$19,0)),"Yes")="No","",MAX($M145,$O145)+Settings!$C$6))</f>
        <v/>
      </c>
      <c r="Q145" s="36" t="str">
        <f aca="true">IF($D145="","",IF(IFERROR(INDEX(Settings!$C$11:$C$19,MATCH($L145,Settings!$B$11:$B$19,0)),"Yes")="No","",IF($M145="",IF($N145="","",$N145-TODAY()),IF($P145="","",$P145-TODAY()))))</f>
        <v/>
      </c>
      <c r="R145" s="37" t="str">
        <f aca="true">IF($D145="","",IF(IFERROR(INDEX(Settings!$C$11:$C$19,MATCH($L145,Settings!$B$11:$B$19,0)),"Yes")="No","CLOSED",IF($M145="",IF($N145="","ON TRACK",IF($N145&lt;TODAY(),"OVERDUE",IF($N145-TODAY()&lt;=Settings!$C$5,"DUE SOON","ON TRACK"))),IF($P145&lt;=TODAY(),"FOLLOW-UP DUE","ON TRACK"))))</f>
        <v/>
      </c>
      <c r="S145" s="35"/>
      <c r="T145" s="35"/>
      <c r="U145" s="38"/>
      <c r="V145" s="34"/>
      <c r="W145" s="35" t="str">
        <f aca="false">IF(OR($R145="OVERDUE",$R145="DUE SOON",$R145="FOLLOW-UP DUE"),MAX(W$3:W144)+1,"")</f>
        <v/>
      </c>
    </row>
    <row r="146" customFormat="false" ht="15" hidden="false" customHeight="false" outlineLevel="0" collapsed="false">
      <c r="A146" s="33" t="str">
        <f aca="false">IF($D146="","","JOB-"&amp;TEXT(ROW()-3,"000"))</f>
        <v/>
      </c>
      <c r="B146" s="34"/>
      <c r="C146" s="35"/>
      <c r="D146" s="35"/>
      <c r="E146" s="35"/>
      <c r="F146" s="35"/>
      <c r="G146" s="33"/>
      <c r="H146" s="35"/>
      <c r="I146" s="35"/>
      <c r="J146" s="35"/>
      <c r="K146" s="33"/>
      <c r="L146" s="33"/>
      <c r="M146" s="34"/>
      <c r="N146" s="34"/>
      <c r="O146" s="34"/>
      <c r="P146" s="34" t="str">
        <f aca="false">IF(OR($D146="",$M146=""),"",IF(IFERROR(INDEX(Settings!$C$11:$C$19,MATCH($L146,Settings!$B$11:$B$19,0)),"Yes")="No","",MAX($M146,$O146)+Settings!$C$6))</f>
        <v/>
      </c>
      <c r="Q146" s="36" t="str">
        <f aca="true">IF($D146="","",IF(IFERROR(INDEX(Settings!$C$11:$C$19,MATCH($L146,Settings!$B$11:$B$19,0)),"Yes")="No","",IF($M146="",IF($N146="","",$N146-TODAY()),IF($P146="","",$P146-TODAY()))))</f>
        <v/>
      </c>
      <c r="R146" s="37" t="str">
        <f aca="true">IF($D146="","",IF(IFERROR(INDEX(Settings!$C$11:$C$19,MATCH($L146,Settings!$B$11:$B$19,0)),"Yes")="No","CLOSED",IF($M146="",IF($N146="","ON TRACK",IF($N146&lt;TODAY(),"OVERDUE",IF($N146-TODAY()&lt;=Settings!$C$5,"DUE SOON","ON TRACK"))),IF($P146&lt;=TODAY(),"FOLLOW-UP DUE","ON TRACK"))))</f>
        <v/>
      </c>
      <c r="S146" s="35"/>
      <c r="T146" s="35"/>
      <c r="U146" s="38"/>
      <c r="V146" s="34"/>
      <c r="W146" s="35" t="str">
        <f aca="false">IF(OR($R146="OVERDUE",$R146="DUE SOON",$R146="FOLLOW-UP DUE"),MAX(W$3:W145)+1,"")</f>
        <v/>
      </c>
    </row>
    <row r="147" customFormat="false" ht="15" hidden="false" customHeight="false" outlineLevel="0" collapsed="false">
      <c r="A147" s="33" t="str">
        <f aca="false">IF($D147="","","JOB-"&amp;TEXT(ROW()-3,"000"))</f>
        <v/>
      </c>
      <c r="B147" s="34"/>
      <c r="C147" s="35"/>
      <c r="D147" s="35"/>
      <c r="E147" s="35"/>
      <c r="F147" s="35"/>
      <c r="G147" s="33"/>
      <c r="H147" s="35"/>
      <c r="I147" s="35"/>
      <c r="J147" s="35"/>
      <c r="K147" s="33"/>
      <c r="L147" s="33"/>
      <c r="M147" s="34"/>
      <c r="N147" s="34"/>
      <c r="O147" s="34"/>
      <c r="P147" s="34" t="str">
        <f aca="false">IF(OR($D147="",$M147=""),"",IF(IFERROR(INDEX(Settings!$C$11:$C$19,MATCH($L147,Settings!$B$11:$B$19,0)),"Yes")="No","",MAX($M147,$O147)+Settings!$C$6))</f>
        <v/>
      </c>
      <c r="Q147" s="36" t="str">
        <f aca="true">IF($D147="","",IF(IFERROR(INDEX(Settings!$C$11:$C$19,MATCH($L147,Settings!$B$11:$B$19,0)),"Yes")="No","",IF($M147="",IF($N147="","",$N147-TODAY()),IF($P147="","",$P147-TODAY()))))</f>
        <v/>
      </c>
      <c r="R147" s="37" t="str">
        <f aca="true">IF($D147="","",IF(IFERROR(INDEX(Settings!$C$11:$C$19,MATCH($L147,Settings!$B$11:$B$19,0)),"Yes")="No","CLOSED",IF($M147="",IF($N147="","ON TRACK",IF($N147&lt;TODAY(),"OVERDUE",IF($N147-TODAY()&lt;=Settings!$C$5,"DUE SOON","ON TRACK"))),IF($P147&lt;=TODAY(),"FOLLOW-UP DUE","ON TRACK"))))</f>
        <v/>
      </c>
      <c r="S147" s="35"/>
      <c r="T147" s="35"/>
      <c r="U147" s="38"/>
      <c r="V147" s="34"/>
      <c r="W147" s="35" t="str">
        <f aca="false">IF(OR($R147="OVERDUE",$R147="DUE SOON",$R147="FOLLOW-UP DUE"),MAX(W$3:W146)+1,"")</f>
        <v/>
      </c>
    </row>
    <row r="148" customFormat="false" ht="15" hidden="false" customHeight="false" outlineLevel="0" collapsed="false">
      <c r="A148" s="33" t="str">
        <f aca="false">IF($D148="","","JOB-"&amp;TEXT(ROW()-3,"000"))</f>
        <v/>
      </c>
      <c r="B148" s="34"/>
      <c r="C148" s="35"/>
      <c r="D148" s="35"/>
      <c r="E148" s="35"/>
      <c r="F148" s="35"/>
      <c r="G148" s="33"/>
      <c r="H148" s="35"/>
      <c r="I148" s="35"/>
      <c r="J148" s="35"/>
      <c r="K148" s="33"/>
      <c r="L148" s="33"/>
      <c r="M148" s="34"/>
      <c r="N148" s="34"/>
      <c r="O148" s="34"/>
      <c r="P148" s="34" t="str">
        <f aca="false">IF(OR($D148="",$M148=""),"",IF(IFERROR(INDEX(Settings!$C$11:$C$19,MATCH($L148,Settings!$B$11:$B$19,0)),"Yes")="No","",MAX($M148,$O148)+Settings!$C$6))</f>
        <v/>
      </c>
      <c r="Q148" s="36" t="str">
        <f aca="true">IF($D148="","",IF(IFERROR(INDEX(Settings!$C$11:$C$19,MATCH($L148,Settings!$B$11:$B$19,0)),"Yes")="No","",IF($M148="",IF($N148="","",$N148-TODAY()),IF($P148="","",$P148-TODAY()))))</f>
        <v/>
      </c>
      <c r="R148" s="37" t="str">
        <f aca="true">IF($D148="","",IF(IFERROR(INDEX(Settings!$C$11:$C$19,MATCH($L148,Settings!$B$11:$B$19,0)),"Yes")="No","CLOSED",IF($M148="",IF($N148="","ON TRACK",IF($N148&lt;TODAY(),"OVERDUE",IF($N148-TODAY()&lt;=Settings!$C$5,"DUE SOON","ON TRACK"))),IF($P148&lt;=TODAY(),"FOLLOW-UP DUE","ON TRACK"))))</f>
        <v/>
      </c>
      <c r="S148" s="35"/>
      <c r="T148" s="35"/>
      <c r="U148" s="38"/>
      <c r="V148" s="34"/>
      <c r="W148" s="35" t="str">
        <f aca="false">IF(OR($R148="OVERDUE",$R148="DUE SOON",$R148="FOLLOW-UP DUE"),MAX(W$3:W147)+1,"")</f>
        <v/>
      </c>
    </row>
    <row r="149" customFormat="false" ht="15" hidden="false" customHeight="false" outlineLevel="0" collapsed="false">
      <c r="A149" s="33" t="str">
        <f aca="false">IF($D149="","","JOB-"&amp;TEXT(ROW()-3,"000"))</f>
        <v/>
      </c>
      <c r="B149" s="34"/>
      <c r="C149" s="35"/>
      <c r="D149" s="35"/>
      <c r="E149" s="35"/>
      <c r="F149" s="35"/>
      <c r="G149" s="33"/>
      <c r="H149" s="35"/>
      <c r="I149" s="35"/>
      <c r="J149" s="35"/>
      <c r="K149" s="33"/>
      <c r="L149" s="33"/>
      <c r="M149" s="34"/>
      <c r="N149" s="34"/>
      <c r="O149" s="34"/>
      <c r="P149" s="34" t="str">
        <f aca="false">IF(OR($D149="",$M149=""),"",IF(IFERROR(INDEX(Settings!$C$11:$C$19,MATCH($L149,Settings!$B$11:$B$19,0)),"Yes")="No","",MAX($M149,$O149)+Settings!$C$6))</f>
        <v/>
      </c>
      <c r="Q149" s="36" t="str">
        <f aca="true">IF($D149="","",IF(IFERROR(INDEX(Settings!$C$11:$C$19,MATCH($L149,Settings!$B$11:$B$19,0)),"Yes")="No","",IF($M149="",IF($N149="","",$N149-TODAY()),IF($P149="","",$P149-TODAY()))))</f>
        <v/>
      </c>
      <c r="R149" s="37" t="str">
        <f aca="true">IF($D149="","",IF(IFERROR(INDEX(Settings!$C$11:$C$19,MATCH($L149,Settings!$B$11:$B$19,0)),"Yes")="No","CLOSED",IF($M149="",IF($N149="","ON TRACK",IF($N149&lt;TODAY(),"OVERDUE",IF($N149-TODAY()&lt;=Settings!$C$5,"DUE SOON","ON TRACK"))),IF($P149&lt;=TODAY(),"FOLLOW-UP DUE","ON TRACK"))))</f>
        <v/>
      </c>
      <c r="S149" s="35"/>
      <c r="T149" s="35"/>
      <c r="U149" s="38"/>
      <c r="V149" s="34"/>
      <c r="W149" s="35" t="str">
        <f aca="false">IF(OR($R149="OVERDUE",$R149="DUE SOON",$R149="FOLLOW-UP DUE"),MAX(W$3:W148)+1,"")</f>
        <v/>
      </c>
    </row>
    <row r="150" customFormat="false" ht="15" hidden="false" customHeight="false" outlineLevel="0" collapsed="false">
      <c r="A150" s="33" t="str">
        <f aca="false">IF($D150="","","JOB-"&amp;TEXT(ROW()-3,"000"))</f>
        <v/>
      </c>
      <c r="B150" s="34"/>
      <c r="C150" s="35"/>
      <c r="D150" s="35"/>
      <c r="E150" s="35"/>
      <c r="F150" s="35"/>
      <c r="G150" s="33"/>
      <c r="H150" s="35"/>
      <c r="I150" s="35"/>
      <c r="J150" s="35"/>
      <c r="K150" s="33"/>
      <c r="L150" s="33"/>
      <c r="M150" s="34"/>
      <c r="N150" s="34"/>
      <c r="O150" s="34"/>
      <c r="P150" s="34" t="str">
        <f aca="false">IF(OR($D150="",$M150=""),"",IF(IFERROR(INDEX(Settings!$C$11:$C$19,MATCH($L150,Settings!$B$11:$B$19,0)),"Yes")="No","",MAX($M150,$O150)+Settings!$C$6))</f>
        <v/>
      </c>
      <c r="Q150" s="36" t="str">
        <f aca="true">IF($D150="","",IF(IFERROR(INDEX(Settings!$C$11:$C$19,MATCH($L150,Settings!$B$11:$B$19,0)),"Yes")="No","",IF($M150="",IF($N150="","",$N150-TODAY()),IF($P150="","",$P150-TODAY()))))</f>
        <v/>
      </c>
      <c r="R150" s="37" t="str">
        <f aca="true">IF($D150="","",IF(IFERROR(INDEX(Settings!$C$11:$C$19,MATCH($L150,Settings!$B$11:$B$19,0)),"Yes")="No","CLOSED",IF($M150="",IF($N150="","ON TRACK",IF($N150&lt;TODAY(),"OVERDUE",IF($N150-TODAY()&lt;=Settings!$C$5,"DUE SOON","ON TRACK"))),IF($P150&lt;=TODAY(),"FOLLOW-UP DUE","ON TRACK"))))</f>
        <v/>
      </c>
      <c r="S150" s="35"/>
      <c r="T150" s="35"/>
      <c r="U150" s="38"/>
      <c r="V150" s="34"/>
      <c r="W150" s="35" t="str">
        <f aca="false">IF(OR($R150="OVERDUE",$R150="DUE SOON",$R150="FOLLOW-UP DUE"),MAX(W$3:W149)+1,"")</f>
        <v/>
      </c>
    </row>
    <row r="151" customFormat="false" ht="15" hidden="false" customHeight="false" outlineLevel="0" collapsed="false">
      <c r="A151" s="33" t="str">
        <f aca="false">IF($D151="","","JOB-"&amp;TEXT(ROW()-3,"000"))</f>
        <v/>
      </c>
      <c r="B151" s="34"/>
      <c r="C151" s="35"/>
      <c r="D151" s="35"/>
      <c r="E151" s="35"/>
      <c r="F151" s="35"/>
      <c r="G151" s="33"/>
      <c r="H151" s="35"/>
      <c r="I151" s="35"/>
      <c r="J151" s="35"/>
      <c r="K151" s="33"/>
      <c r="L151" s="33"/>
      <c r="M151" s="34"/>
      <c r="N151" s="34"/>
      <c r="O151" s="34"/>
      <c r="P151" s="34" t="str">
        <f aca="false">IF(OR($D151="",$M151=""),"",IF(IFERROR(INDEX(Settings!$C$11:$C$19,MATCH($L151,Settings!$B$11:$B$19,0)),"Yes")="No","",MAX($M151,$O151)+Settings!$C$6))</f>
        <v/>
      </c>
      <c r="Q151" s="36" t="str">
        <f aca="true">IF($D151="","",IF(IFERROR(INDEX(Settings!$C$11:$C$19,MATCH($L151,Settings!$B$11:$B$19,0)),"Yes")="No","",IF($M151="",IF($N151="","",$N151-TODAY()),IF($P151="","",$P151-TODAY()))))</f>
        <v/>
      </c>
      <c r="R151" s="37" t="str">
        <f aca="true">IF($D151="","",IF(IFERROR(INDEX(Settings!$C$11:$C$19,MATCH($L151,Settings!$B$11:$B$19,0)),"Yes")="No","CLOSED",IF($M151="",IF($N151="","ON TRACK",IF($N151&lt;TODAY(),"OVERDUE",IF($N151-TODAY()&lt;=Settings!$C$5,"DUE SOON","ON TRACK"))),IF($P151&lt;=TODAY(),"FOLLOW-UP DUE","ON TRACK"))))</f>
        <v/>
      </c>
      <c r="S151" s="35"/>
      <c r="T151" s="35"/>
      <c r="U151" s="38"/>
      <c r="V151" s="34"/>
      <c r="W151" s="35" t="str">
        <f aca="false">IF(OR($R151="OVERDUE",$R151="DUE SOON",$R151="FOLLOW-UP DUE"),MAX(W$3:W150)+1,"")</f>
        <v/>
      </c>
    </row>
    <row r="152" customFormat="false" ht="15" hidden="false" customHeight="false" outlineLevel="0" collapsed="false">
      <c r="A152" s="33" t="str">
        <f aca="false">IF($D152="","","JOB-"&amp;TEXT(ROW()-3,"000"))</f>
        <v/>
      </c>
      <c r="B152" s="34"/>
      <c r="C152" s="35"/>
      <c r="D152" s="35"/>
      <c r="E152" s="35"/>
      <c r="F152" s="35"/>
      <c r="G152" s="33"/>
      <c r="H152" s="35"/>
      <c r="I152" s="35"/>
      <c r="J152" s="35"/>
      <c r="K152" s="33"/>
      <c r="L152" s="33"/>
      <c r="M152" s="34"/>
      <c r="N152" s="34"/>
      <c r="O152" s="34"/>
      <c r="P152" s="34" t="str">
        <f aca="false">IF(OR($D152="",$M152=""),"",IF(IFERROR(INDEX(Settings!$C$11:$C$19,MATCH($L152,Settings!$B$11:$B$19,0)),"Yes")="No","",MAX($M152,$O152)+Settings!$C$6))</f>
        <v/>
      </c>
      <c r="Q152" s="36" t="str">
        <f aca="true">IF($D152="","",IF(IFERROR(INDEX(Settings!$C$11:$C$19,MATCH($L152,Settings!$B$11:$B$19,0)),"Yes")="No","",IF($M152="",IF($N152="","",$N152-TODAY()),IF($P152="","",$P152-TODAY()))))</f>
        <v/>
      </c>
      <c r="R152" s="37" t="str">
        <f aca="true">IF($D152="","",IF(IFERROR(INDEX(Settings!$C$11:$C$19,MATCH($L152,Settings!$B$11:$B$19,0)),"Yes")="No","CLOSED",IF($M152="",IF($N152="","ON TRACK",IF($N152&lt;TODAY(),"OVERDUE",IF($N152-TODAY()&lt;=Settings!$C$5,"DUE SOON","ON TRACK"))),IF($P152&lt;=TODAY(),"FOLLOW-UP DUE","ON TRACK"))))</f>
        <v/>
      </c>
      <c r="S152" s="35"/>
      <c r="T152" s="35"/>
      <c r="U152" s="38"/>
      <c r="V152" s="34"/>
      <c r="W152" s="35" t="str">
        <f aca="false">IF(OR($R152="OVERDUE",$R152="DUE SOON",$R152="FOLLOW-UP DUE"),MAX(W$3:W151)+1,"")</f>
        <v/>
      </c>
    </row>
    <row r="153" customFormat="false" ht="15" hidden="false" customHeight="false" outlineLevel="0" collapsed="false">
      <c r="A153" s="33" t="str">
        <f aca="false">IF($D153="","","JOB-"&amp;TEXT(ROW()-3,"000"))</f>
        <v/>
      </c>
      <c r="B153" s="34"/>
      <c r="C153" s="35"/>
      <c r="D153" s="35"/>
      <c r="E153" s="35"/>
      <c r="F153" s="35"/>
      <c r="G153" s="33"/>
      <c r="H153" s="35"/>
      <c r="I153" s="35"/>
      <c r="J153" s="35"/>
      <c r="K153" s="33"/>
      <c r="L153" s="33"/>
      <c r="M153" s="34"/>
      <c r="N153" s="34"/>
      <c r="O153" s="34"/>
      <c r="P153" s="34" t="str">
        <f aca="false">IF(OR($D153="",$M153=""),"",IF(IFERROR(INDEX(Settings!$C$11:$C$19,MATCH($L153,Settings!$B$11:$B$19,0)),"Yes")="No","",MAX($M153,$O153)+Settings!$C$6))</f>
        <v/>
      </c>
      <c r="Q153" s="36" t="str">
        <f aca="true">IF($D153="","",IF(IFERROR(INDEX(Settings!$C$11:$C$19,MATCH($L153,Settings!$B$11:$B$19,0)),"Yes")="No","",IF($M153="",IF($N153="","",$N153-TODAY()),IF($P153="","",$P153-TODAY()))))</f>
        <v/>
      </c>
      <c r="R153" s="37" t="str">
        <f aca="true">IF($D153="","",IF(IFERROR(INDEX(Settings!$C$11:$C$19,MATCH($L153,Settings!$B$11:$B$19,0)),"Yes")="No","CLOSED",IF($M153="",IF($N153="","ON TRACK",IF($N153&lt;TODAY(),"OVERDUE",IF($N153-TODAY()&lt;=Settings!$C$5,"DUE SOON","ON TRACK"))),IF($P153&lt;=TODAY(),"FOLLOW-UP DUE","ON TRACK"))))</f>
        <v/>
      </c>
      <c r="S153" s="35"/>
      <c r="T153" s="35"/>
      <c r="U153" s="38"/>
      <c r="V153" s="34"/>
      <c r="W153" s="35" t="str">
        <f aca="false">IF(OR($R153="OVERDUE",$R153="DUE SOON",$R153="FOLLOW-UP DUE"),MAX(W$3:W152)+1,"")</f>
        <v/>
      </c>
    </row>
    <row r="154" customFormat="false" ht="15" hidden="false" customHeight="false" outlineLevel="0" collapsed="false">
      <c r="A154" s="33" t="str">
        <f aca="false">IF($D154="","","JOB-"&amp;TEXT(ROW()-3,"000"))</f>
        <v/>
      </c>
      <c r="B154" s="34"/>
      <c r="C154" s="35"/>
      <c r="D154" s="35"/>
      <c r="E154" s="35"/>
      <c r="F154" s="35"/>
      <c r="G154" s="33"/>
      <c r="H154" s="35"/>
      <c r="I154" s="35"/>
      <c r="J154" s="35"/>
      <c r="K154" s="33"/>
      <c r="L154" s="33"/>
      <c r="M154" s="34"/>
      <c r="N154" s="34"/>
      <c r="O154" s="34"/>
      <c r="P154" s="34" t="str">
        <f aca="false">IF(OR($D154="",$M154=""),"",IF(IFERROR(INDEX(Settings!$C$11:$C$19,MATCH($L154,Settings!$B$11:$B$19,0)),"Yes")="No","",MAX($M154,$O154)+Settings!$C$6))</f>
        <v/>
      </c>
      <c r="Q154" s="36" t="str">
        <f aca="true">IF($D154="","",IF(IFERROR(INDEX(Settings!$C$11:$C$19,MATCH($L154,Settings!$B$11:$B$19,0)),"Yes")="No","",IF($M154="",IF($N154="","",$N154-TODAY()),IF($P154="","",$P154-TODAY()))))</f>
        <v/>
      </c>
      <c r="R154" s="37" t="str">
        <f aca="true">IF($D154="","",IF(IFERROR(INDEX(Settings!$C$11:$C$19,MATCH($L154,Settings!$B$11:$B$19,0)),"Yes")="No","CLOSED",IF($M154="",IF($N154="","ON TRACK",IF($N154&lt;TODAY(),"OVERDUE",IF($N154-TODAY()&lt;=Settings!$C$5,"DUE SOON","ON TRACK"))),IF($P154&lt;=TODAY(),"FOLLOW-UP DUE","ON TRACK"))))</f>
        <v/>
      </c>
      <c r="S154" s="35"/>
      <c r="T154" s="35"/>
      <c r="U154" s="38"/>
      <c r="V154" s="34"/>
      <c r="W154" s="35" t="str">
        <f aca="false">IF(OR($R154="OVERDUE",$R154="DUE SOON",$R154="FOLLOW-UP DUE"),MAX(W$3:W153)+1,"")</f>
        <v/>
      </c>
    </row>
    <row r="155" customFormat="false" ht="15" hidden="false" customHeight="false" outlineLevel="0" collapsed="false">
      <c r="A155" s="33" t="str">
        <f aca="false">IF($D155="","","JOB-"&amp;TEXT(ROW()-3,"000"))</f>
        <v/>
      </c>
      <c r="B155" s="34"/>
      <c r="C155" s="35"/>
      <c r="D155" s="35"/>
      <c r="E155" s="35"/>
      <c r="F155" s="35"/>
      <c r="G155" s="33"/>
      <c r="H155" s="35"/>
      <c r="I155" s="35"/>
      <c r="J155" s="35"/>
      <c r="K155" s="33"/>
      <c r="L155" s="33"/>
      <c r="M155" s="34"/>
      <c r="N155" s="34"/>
      <c r="O155" s="34"/>
      <c r="P155" s="34" t="str">
        <f aca="false">IF(OR($D155="",$M155=""),"",IF(IFERROR(INDEX(Settings!$C$11:$C$19,MATCH($L155,Settings!$B$11:$B$19,0)),"Yes")="No","",MAX($M155,$O155)+Settings!$C$6))</f>
        <v/>
      </c>
      <c r="Q155" s="36" t="str">
        <f aca="true">IF($D155="","",IF(IFERROR(INDEX(Settings!$C$11:$C$19,MATCH($L155,Settings!$B$11:$B$19,0)),"Yes")="No","",IF($M155="",IF($N155="","",$N155-TODAY()),IF($P155="","",$P155-TODAY()))))</f>
        <v/>
      </c>
      <c r="R155" s="37" t="str">
        <f aca="true">IF($D155="","",IF(IFERROR(INDEX(Settings!$C$11:$C$19,MATCH($L155,Settings!$B$11:$B$19,0)),"Yes")="No","CLOSED",IF($M155="",IF($N155="","ON TRACK",IF($N155&lt;TODAY(),"OVERDUE",IF($N155-TODAY()&lt;=Settings!$C$5,"DUE SOON","ON TRACK"))),IF($P155&lt;=TODAY(),"FOLLOW-UP DUE","ON TRACK"))))</f>
        <v/>
      </c>
      <c r="S155" s="35"/>
      <c r="T155" s="35"/>
      <c r="U155" s="38"/>
      <c r="V155" s="34"/>
      <c r="W155" s="35" t="str">
        <f aca="false">IF(OR($R155="OVERDUE",$R155="DUE SOON",$R155="FOLLOW-UP DUE"),MAX(W$3:W154)+1,"")</f>
        <v/>
      </c>
    </row>
    <row r="156" customFormat="false" ht="15" hidden="false" customHeight="false" outlineLevel="0" collapsed="false">
      <c r="A156" s="33" t="str">
        <f aca="false">IF($D156="","","JOB-"&amp;TEXT(ROW()-3,"000"))</f>
        <v/>
      </c>
      <c r="B156" s="34"/>
      <c r="C156" s="35"/>
      <c r="D156" s="35"/>
      <c r="E156" s="35"/>
      <c r="F156" s="35"/>
      <c r="G156" s="33"/>
      <c r="H156" s="35"/>
      <c r="I156" s="35"/>
      <c r="J156" s="35"/>
      <c r="K156" s="33"/>
      <c r="L156" s="33"/>
      <c r="M156" s="34"/>
      <c r="N156" s="34"/>
      <c r="O156" s="34"/>
      <c r="P156" s="34" t="str">
        <f aca="false">IF(OR($D156="",$M156=""),"",IF(IFERROR(INDEX(Settings!$C$11:$C$19,MATCH($L156,Settings!$B$11:$B$19,0)),"Yes")="No","",MAX($M156,$O156)+Settings!$C$6))</f>
        <v/>
      </c>
      <c r="Q156" s="36" t="str">
        <f aca="true">IF($D156="","",IF(IFERROR(INDEX(Settings!$C$11:$C$19,MATCH($L156,Settings!$B$11:$B$19,0)),"Yes")="No","",IF($M156="",IF($N156="","",$N156-TODAY()),IF($P156="","",$P156-TODAY()))))</f>
        <v/>
      </c>
      <c r="R156" s="37" t="str">
        <f aca="true">IF($D156="","",IF(IFERROR(INDEX(Settings!$C$11:$C$19,MATCH($L156,Settings!$B$11:$B$19,0)),"Yes")="No","CLOSED",IF($M156="",IF($N156="","ON TRACK",IF($N156&lt;TODAY(),"OVERDUE",IF($N156-TODAY()&lt;=Settings!$C$5,"DUE SOON","ON TRACK"))),IF($P156&lt;=TODAY(),"FOLLOW-UP DUE","ON TRACK"))))</f>
        <v/>
      </c>
      <c r="S156" s="35"/>
      <c r="T156" s="35"/>
      <c r="U156" s="38"/>
      <c r="V156" s="34"/>
      <c r="W156" s="35" t="str">
        <f aca="false">IF(OR($R156="OVERDUE",$R156="DUE SOON",$R156="FOLLOW-UP DUE"),MAX(W$3:W155)+1,"")</f>
        <v/>
      </c>
    </row>
    <row r="157" customFormat="false" ht="15" hidden="false" customHeight="false" outlineLevel="0" collapsed="false">
      <c r="A157" s="33" t="str">
        <f aca="false">IF($D157="","","JOB-"&amp;TEXT(ROW()-3,"000"))</f>
        <v/>
      </c>
      <c r="B157" s="34"/>
      <c r="C157" s="35"/>
      <c r="D157" s="35"/>
      <c r="E157" s="35"/>
      <c r="F157" s="35"/>
      <c r="G157" s="33"/>
      <c r="H157" s="35"/>
      <c r="I157" s="35"/>
      <c r="J157" s="35"/>
      <c r="K157" s="33"/>
      <c r="L157" s="33"/>
      <c r="M157" s="34"/>
      <c r="N157" s="34"/>
      <c r="O157" s="34"/>
      <c r="P157" s="34" t="str">
        <f aca="false">IF(OR($D157="",$M157=""),"",IF(IFERROR(INDEX(Settings!$C$11:$C$19,MATCH($L157,Settings!$B$11:$B$19,0)),"Yes")="No","",MAX($M157,$O157)+Settings!$C$6))</f>
        <v/>
      </c>
      <c r="Q157" s="36" t="str">
        <f aca="true">IF($D157="","",IF(IFERROR(INDEX(Settings!$C$11:$C$19,MATCH($L157,Settings!$B$11:$B$19,0)),"Yes")="No","",IF($M157="",IF($N157="","",$N157-TODAY()),IF($P157="","",$P157-TODAY()))))</f>
        <v/>
      </c>
      <c r="R157" s="37" t="str">
        <f aca="true">IF($D157="","",IF(IFERROR(INDEX(Settings!$C$11:$C$19,MATCH($L157,Settings!$B$11:$B$19,0)),"Yes")="No","CLOSED",IF($M157="",IF($N157="","ON TRACK",IF($N157&lt;TODAY(),"OVERDUE",IF($N157-TODAY()&lt;=Settings!$C$5,"DUE SOON","ON TRACK"))),IF($P157&lt;=TODAY(),"FOLLOW-UP DUE","ON TRACK"))))</f>
        <v/>
      </c>
      <c r="S157" s="35"/>
      <c r="T157" s="35"/>
      <c r="U157" s="38"/>
      <c r="V157" s="34"/>
      <c r="W157" s="35" t="str">
        <f aca="false">IF(OR($R157="OVERDUE",$R157="DUE SOON",$R157="FOLLOW-UP DUE"),MAX(W$3:W156)+1,"")</f>
        <v/>
      </c>
    </row>
    <row r="158" customFormat="false" ht="15" hidden="false" customHeight="false" outlineLevel="0" collapsed="false">
      <c r="A158" s="33" t="str">
        <f aca="false">IF($D158="","","JOB-"&amp;TEXT(ROW()-3,"000"))</f>
        <v/>
      </c>
      <c r="B158" s="34"/>
      <c r="C158" s="35"/>
      <c r="D158" s="35"/>
      <c r="E158" s="35"/>
      <c r="F158" s="35"/>
      <c r="G158" s="33"/>
      <c r="H158" s="35"/>
      <c r="I158" s="35"/>
      <c r="J158" s="35"/>
      <c r="K158" s="33"/>
      <c r="L158" s="33"/>
      <c r="M158" s="34"/>
      <c r="N158" s="34"/>
      <c r="O158" s="34"/>
      <c r="P158" s="34" t="str">
        <f aca="false">IF(OR($D158="",$M158=""),"",IF(IFERROR(INDEX(Settings!$C$11:$C$19,MATCH($L158,Settings!$B$11:$B$19,0)),"Yes")="No","",MAX($M158,$O158)+Settings!$C$6))</f>
        <v/>
      </c>
      <c r="Q158" s="36" t="str">
        <f aca="true">IF($D158="","",IF(IFERROR(INDEX(Settings!$C$11:$C$19,MATCH($L158,Settings!$B$11:$B$19,0)),"Yes")="No","",IF($M158="",IF($N158="","",$N158-TODAY()),IF($P158="","",$P158-TODAY()))))</f>
        <v/>
      </c>
      <c r="R158" s="37" t="str">
        <f aca="true">IF($D158="","",IF(IFERROR(INDEX(Settings!$C$11:$C$19,MATCH($L158,Settings!$B$11:$B$19,0)),"Yes")="No","CLOSED",IF($M158="",IF($N158="","ON TRACK",IF($N158&lt;TODAY(),"OVERDUE",IF($N158-TODAY()&lt;=Settings!$C$5,"DUE SOON","ON TRACK"))),IF($P158&lt;=TODAY(),"FOLLOW-UP DUE","ON TRACK"))))</f>
        <v/>
      </c>
      <c r="S158" s="35"/>
      <c r="T158" s="35"/>
      <c r="U158" s="38"/>
      <c r="V158" s="34"/>
      <c r="W158" s="35" t="str">
        <f aca="false">IF(OR($R158="OVERDUE",$R158="DUE SOON",$R158="FOLLOW-UP DUE"),MAX(W$3:W157)+1,"")</f>
        <v/>
      </c>
    </row>
    <row r="159" customFormat="false" ht="15" hidden="false" customHeight="false" outlineLevel="0" collapsed="false">
      <c r="A159" s="33" t="str">
        <f aca="false">IF($D159="","","JOB-"&amp;TEXT(ROW()-3,"000"))</f>
        <v/>
      </c>
      <c r="B159" s="34"/>
      <c r="C159" s="35"/>
      <c r="D159" s="35"/>
      <c r="E159" s="35"/>
      <c r="F159" s="35"/>
      <c r="G159" s="33"/>
      <c r="H159" s="35"/>
      <c r="I159" s="35"/>
      <c r="J159" s="35"/>
      <c r="K159" s="33"/>
      <c r="L159" s="33"/>
      <c r="M159" s="34"/>
      <c r="N159" s="34"/>
      <c r="O159" s="34"/>
      <c r="P159" s="34" t="str">
        <f aca="false">IF(OR($D159="",$M159=""),"",IF(IFERROR(INDEX(Settings!$C$11:$C$19,MATCH($L159,Settings!$B$11:$B$19,0)),"Yes")="No","",MAX($M159,$O159)+Settings!$C$6))</f>
        <v/>
      </c>
      <c r="Q159" s="36" t="str">
        <f aca="true">IF($D159="","",IF(IFERROR(INDEX(Settings!$C$11:$C$19,MATCH($L159,Settings!$B$11:$B$19,0)),"Yes")="No","",IF($M159="",IF($N159="","",$N159-TODAY()),IF($P159="","",$P159-TODAY()))))</f>
        <v/>
      </c>
      <c r="R159" s="37" t="str">
        <f aca="true">IF($D159="","",IF(IFERROR(INDEX(Settings!$C$11:$C$19,MATCH($L159,Settings!$B$11:$B$19,0)),"Yes")="No","CLOSED",IF($M159="",IF($N159="","ON TRACK",IF($N159&lt;TODAY(),"OVERDUE",IF($N159-TODAY()&lt;=Settings!$C$5,"DUE SOON","ON TRACK"))),IF($P159&lt;=TODAY(),"FOLLOW-UP DUE","ON TRACK"))))</f>
        <v/>
      </c>
      <c r="S159" s="35"/>
      <c r="T159" s="35"/>
      <c r="U159" s="38"/>
      <c r="V159" s="34"/>
      <c r="W159" s="35" t="str">
        <f aca="false">IF(OR($R159="OVERDUE",$R159="DUE SOON",$R159="FOLLOW-UP DUE"),MAX(W$3:W158)+1,"")</f>
        <v/>
      </c>
    </row>
    <row r="160" customFormat="false" ht="15" hidden="false" customHeight="false" outlineLevel="0" collapsed="false">
      <c r="A160" s="33" t="str">
        <f aca="false">IF($D160="","","JOB-"&amp;TEXT(ROW()-3,"000"))</f>
        <v/>
      </c>
      <c r="B160" s="34"/>
      <c r="C160" s="35"/>
      <c r="D160" s="35"/>
      <c r="E160" s="35"/>
      <c r="F160" s="35"/>
      <c r="G160" s="33"/>
      <c r="H160" s="35"/>
      <c r="I160" s="35"/>
      <c r="J160" s="35"/>
      <c r="K160" s="33"/>
      <c r="L160" s="33"/>
      <c r="M160" s="34"/>
      <c r="N160" s="34"/>
      <c r="O160" s="34"/>
      <c r="P160" s="34" t="str">
        <f aca="false">IF(OR($D160="",$M160=""),"",IF(IFERROR(INDEX(Settings!$C$11:$C$19,MATCH($L160,Settings!$B$11:$B$19,0)),"Yes")="No","",MAX($M160,$O160)+Settings!$C$6))</f>
        <v/>
      </c>
      <c r="Q160" s="36" t="str">
        <f aca="true">IF($D160="","",IF(IFERROR(INDEX(Settings!$C$11:$C$19,MATCH($L160,Settings!$B$11:$B$19,0)),"Yes")="No","",IF($M160="",IF($N160="","",$N160-TODAY()),IF($P160="","",$P160-TODAY()))))</f>
        <v/>
      </c>
      <c r="R160" s="37" t="str">
        <f aca="true">IF($D160="","",IF(IFERROR(INDEX(Settings!$C$11:$C$19,MATCH($L160,Settings!$B$11:$B$19,0)),"Yes")="No","CLOSED",IF($M160="",IF($N160="","ON TRACK",IF($N160&lt;TODAY(),"OVERDUE",IF($N160-TODAY()&lt;=Settings!$C$5,"DUE SOON","ON TRACK"))),IF($P160&lt;=TODAY(),"FOLLOW-UP DUE","ON TRACK"))))</f>
        <v/>
      </c>
      <c r="S160" s="35"/>
      <c r="T160" s="35"/>
      <c r="U160" s="38"/>
      <c r="V160" s="34"/>
      <c r="W160" s="35" t="str">
        <f aca="false">IF(OR($R160="OVERDUE",$R160="DUE SOON",$R160="FOLLOW-UP DUE"),MAX(W$3:W159)+1,"")</f>
        <v/>
      </c>
    </row>
    <row r="161" customFormat="false" ht="15" hidden="false" customHeight="false" outlineLevel="0" collapsed="false">
      <c r="A161" s="33" t="str">
        <f aca="false">IF($D161="","","JOB-"&amp;TEXT(ROW()-3,"000"))</f>
        <v/>
      </c>
      <c r="B161" s="34"/>
      <c r="C161" s="35"/>
      <c r="D161" s="35"/>
      <c r="E161" s="35"/>
      <c r="F161" s="35"/>
      <c r="G161" s="33"/>
      <c r="H161" s="35"/>
      <c r="I161" s="35"/>
      <c r="J161" s="35"/>
      <c r="K161" s="33"/>
      <c r="L161" s="33"/>
      <c r="M161" s="34"/>
      <c r="N161" s="34"/>
      <c r="O161" s="34"/>
      <c r="P161" s="34" t="str">
        <f aca="false">IF(OR($D161="",$M161=""),"",IF(IFERROR(INDEX(Settings!$C$11:$C$19,MATCH($L161,Settings!$B$11:$B$19,0)),"Yes")="No","",MAX($M161,$O161)+Settings!$C$6))</f>
        <v/>
      </c>
      <c r="Q161" s="36" t="str">
        <f aca="true">IF($D161="","",IF(IFERROR(INDEX(Settings!$C$11:$C$19,MATCH($L161,Settings!$B$11:$B$19,0)),"Yes")="No","",IF($M161="",IF($N161="","",$N161-TODAY()),IF($P161="","",$P161-TODAY()))))</f>
        <v/>
      </c>
      <c r="R161" s="37" t="str">
        <f aca="true">IF($D161="","",IF(IFERROR(INDEX(Settings!$C$11:$C$19,MATCH($L161,Settings!$B$11:$B$19,0)),"Yes")="No","CLOSED",IF($M161="",IF($N161="","ON TRACK",IF($N161&lt;TODAY(),"OVERDUE",IF($N161-TODAY()&lt;=Settings!$C$5,"DUE SOON","ON TRACK"))),IF($P161&lt;=TODAY(),"FOLLOW-UP DUE","ON TRACK"))))</f>
        <v/>
      </c>
      <c r="S161" s="35"/>
      <c r="T161" s="35"/>
      <c r="U161" s="38"/>
      <c r="V161" s="34"/>
      <c r="W161" s="35" t="str">
        <f aca="false">IF(OR($R161="OVERDUE",$R161="DUE SOON",$R161="FOLLOW-UP DUE"),MAX(W$3:W160)+1,"")</f>
        <v/>
      </c>
    </row>
    <row r="162" customFormat="false" ht="15" hidden="false" customHeight="false" outlineLevel="0" collapsed="false">
      <c r="A162" s="33" t="str">
        <f aca="false">IF($D162="","","JOB-"&amp;TEXT(ROW()-3,"000"))</f>
        <v/>
      </c>
      <c r="B162" s="34"/>
      <c r="C162" s="35"/>
      <c r="D162" s="35"/>
      <c r="E162" s="35"/>
      <c r="F162" s="35"/>
      <c r="G162" s="33"/>
      <c r="H162" s="35"/>
      <c r="I162" s="35"/>
      <c r="J162" s="35"/>
      <c r="K162" s="33"/>
      <c r="L162" s="33"/>
      <c r="M162" s="34"/>
      <c r="N162" s="34"/>
      <c r="O162" s="34"/>
      <c r="P162" s="34" t="str">
        <f aca="false">IF(OR($D162="",$M162=""),"",IF(IFERROR(INDEX(Settings!$C$11:$C$19,MATCH($L162,Settings!$B$11:$B$19,0)),"Yes")="No","",MAX($M162,$O162)+Settings!$C$6))</f>
        <v/>
      </c>
      <c r="Q162" s="36" t="str">
        <f aca="true">IF($D162="","",IF(IFERROR(INDEX(Settings!$C$11:$C$19,MATCH($L162,Settings!$B$11:$B$19,0)),"Yes")="No","",IF($M162="",IF($N162="","",$N162-TODAY()),IF($P162="","",$P162-TODAY()))))</f>
        <v/>
      </c>
      <c r="R162" s="37" t="str">
        <f aca="true">IF($D162="","",IF(IFERROR(INDEX(Settings!$C$11:$C$19,MATCH($L162,Settings!$B$11:$B$19,0)),"Yes")="No","CLOSED",IF($M162="",IF($N162="","ON TRACK",IF($N162&lt;TODAY(),"OVERDUE",IF($N162-TODAY()&lt;=Settings!$C$5,"DUE SOON","ON TRACK"))),IF($P162&lt;=TODAY(),"FOLLOW-UP DUE","ON TRACK"))))</f>
        <v/>
      </c>
      <c r="S162" s="35"/>
      <c r="T162" s="35"/>
      <c r="U162" s="38"/>
      <c r="V162" s="34"/>
      <c r="W162" s="35" t="str">
        <f aca="false">IF(OR($R162="OVERDUE",$R162="DUE SOON",$R162="FOLLOW-UP DUE"),MAX(W$3:W161)+1,"")</f>
        <v/>
      </c>
    </row>
    <row r="163" customFormat="false" ht="15" hidden="false" customHeight="false" outlineLevel="0" collapsed="false">
      <c r="A163" s="33" t="str">
        <f aca="false">IF($D163="","","JOB-"&amp;TEXT(ROW()-3,"000"))</f>
        <v/>
      </c>
      <c r="B163" s="34"/>
      <c r="C163" s="35"/>
      <c r="D163" s="35"/>
      <c r="E163" s="35"/>
      <c r="F163" s="35"/>
      <c r="G163" s="33"/>
      <c r="H163" s="35"/>
      <c r="I163" s="35"/>
      <c r="J163" s="35"/>
      <c r="K163" s="33"/>
      <c r="L163" s="33"/>
      <c r="M163" s="34"/>
      <c r="N163" s="34"/>
      <c r="O163" s="34"/>
      <c r="P163" s="34" t="str">
        <f aca="false">IF(OR($D163="",$M163=""),"",IF(IFERROR(INDEX(Settings!$C$11:$C$19,MATCH($L163,Settings!$B$11:$B$19,0)),"Yes")="No","",MAX($M163,$O163)+Settings!$C$6))</f>
        <v/>
      </c>
      <c r="Q163" s="36" t="str">
        <f aca="true">IF($D163="","",IF(IFERROR(INDEX(Settings!$C$11:$C$19,MATCH($L163,Settings!$B$11:$B$19,0)),"Yes")="No","",IF($M163="",IF($N163="","",$N163-TODAY()),IF($P163="","",$P163-TODAY()))))</f>
        <v/>
      </c>
      <c r="R163" s="37" t="str">
        <f aca="true">IF($D163="","",IF(IFERROR(INDEX(Settings!$C$11:$C$19,MATCH($L163,Settings!$B$11:$B$19,0)),"Yes")="No","CLOSED",IF($M163="",IF($N163="","ON TRACK",IF($N163&lt;TODAY(),"OVERDUE",IF($N163-TODAY()&lt;=Settings!$C$5,"DUE SOON","ON TRACK"))),IF($P163&lt;=TODAY(),"FOLLOW-UP DUE","ON TRACK"))))</f>
        <v/>
      </c>
      <c r="S163" s="35"/>
      <c r="T163" s="35"/>
      <c r="U163" s="38"/>
      <c r="V163" s="34"/>
      <c r="W163" s="35" t="str">
        <f aca="false">IF(OR($R163="OVERDUE",$R163="DUE SOON",$R163="FOLLOW-UP DUE"),MAX(W$3:W162)+1,"")</f>
        <v/>
      </c>
    </row>
    <row r="164" customFormat="false" ht="15" hidden="false" customHeight="false" outlineLevel="0" collapsed="false">
      <c r="A164" s="33" t="str">
        <f aca="false">IF($D164="","","JOB-"&amp;TEXT(ROW()-3,"000"))</f>
        <v/>
      </c>
      <c r="B164" s="34"/>
      <c r="C164" s="35"/>
      <c r="D164" s="35"/>
      <c r="E164" s="35"/>
      <c r="F164" s="35"/>
      <c r="G164" s="33"/>
      <c r="H164" s="35"/>
      <c r="I164" s="35"/>
      <c r="J164" s="35"/>
      <c r="K164" s="33"/>
      <c r="L164" s="33"/>
      <c r="M164" s="34"/>
      <c r="N164" s="34"/>
      <c r="O164" s="34"/>
      <c r="P164" s="34" t="str">
        <f aca="false">IF(OR($D164="",$M164=""),"",IF(IFERROR(INDEX(Settings!$C$11:$C$19,MATCH($L164,Settings!$B$11:$B$19,0)),"Yes")="No","",MAX($M164,$O164)+Settings!$C$6))</f>
        <v/>
      </c>
      <c r="Q164" s="36" t="str">
        <f aca="true">IF($D164="","",IF(IFERROR(INDEX(Settings!$C$11:$C$19,MATCH($L164,Settings!$B$11:$B$19,0)),"Yes")="No","",IF($M164="",IF($N164="","",$N164-TODAY()),IF($P164="","",$P164-TODAY()))))</f>
        <v/>
      </c>
      <c r="R164" s="37" t="str">
        <f aca="true">IF($D164="","",IF(IFERROR(INDEX(Settings!$C$11:$C$19,MATCH($L164,Settings!$B$11:$B$19,0)),"Yes")="No","CLOSED",IF($M164="",IF($N164="","ON TRACK",IF($N164&lt;TODAY(),"OVERDUE",IF($N164-TODAY()&lt;=Settings!$C$5,"DUE SOON","ON TRACK"))),IF($P164&lt;=TODAY(),"FOLLOW-UP DUE","ON TRACK"))))</f>
        <v/>
      </c>
      <c r="S164" s="35"/>
      <c r="T164" s="35"/>
      <c r="U164" s="38"/>
      <c r="V164" s="34"/>
      <c r="W164" s="35" t="str">
        <f aca="false">IF(OR($R164="OVERDUE",$R164="DUE SOON",$R164="FOLLOW-UP DUE"),MAX(W$3:W163)+1,"")</f>
        <v/>
      </c>
    </row>
    <row r="165" customFormat="false" ht="15" hidden="false" customHeight="false" outlineLevel="0" collapsed="false">
      <c r="A165" s="33" t="str">
        <f aca="false">IF($D165="","","JOB-"&amp;TEXT(ROW()-3,"000"))</f>
        <v/>
      </c>
      <c r="B165" s="34"/>
      <c r="C165" s="35"/>
      <c r="D165" s="35"/>
      <c r="E165" s="35"/>
      <c r="F165" s="35"/>
      <c r="G165" s="33"/>
      <c r="H165" s="35"/>
      <c r="I165" s="35"/>
      <c r="J165" s="35"/>
      <c r="K165" s="33"/>
      <c r="L165" s="33"/>
      <c r="M165" s="34"/>
      <c r="N165" s="34"/>
      <c r="O165" s="34"/>
      <c r="P165" s="34" t="str">
        <f aca="false">IF(OR($D165="",$M165=""),"",IF(IFERROR(INDEX(Settings!$C$11:$C$19,MATCH($L165,Settings!$B$11:$B$19,0)),"Yes")="No","",MAX($M165,$O165)+Settings!$C$6))</f>
        <v/>
      </c>
      <c r="Q165" s="36" t="str">
        <f aca="true">IF($D165="","",IF(IFERROR(INDEX(Settings!$C$11:$C$19,MATCH($L165,Settings!$B$11:$B$19,0)),"Yes")="No","",IF($M165="",IF($N165="","",$N165-TODAY()),IF($P165="","",$P165-TODAY()))))</f>
        <v/>
      </c>
      <c r="R165" s="37" t="str">
        <f aca="true">IF($D165="","",IF(IFERROR(INDEX(Settings!$C$11:$C$19,MATCH($L165,Settings!$B$11:$B$19,0)),"Yes")="No","CLOSED",IF($M165="",IF($N165="","ON TRACK",IF($N165&lt;TODAY(),"OVERDUE",IF($N165-TODAY()&lt;=Settings!$C$5,"DUE SOON","ON TRACK"))),IF($P165&lt;=TODAY(),"FOLLOW-UP DUE","ON TRACK"))))</f>
        <v/>
      </c>
      <c r="S165" s="35"/>
      <c r="T165" s="35"/>
      <c r="U165" s="38"/>
      <c r="V165" s="34"/>
      <c r="W165" s="35" t="str">
        <f aca="false">IF(OR($R165="OVERDUE",$R165="DUE SOON",$R165="FOLLOW-UP DUE"),MAX(W$3:W164)+1,"")</f>
        <v/>
      </c>
    </row>
    <row r="166" customFormat="false" ht="15" hidden="false" customHeight="false" outlineLevel="0" collapsed="false">
      <c r="A166" s="33" t="str">
        <f aca="false">IF($D166="","","JOB-"&amp;TEXT(ROW()-3,"000"))</f>
        <v/>
      </c>
      <c r="B166" s="34"/>
      <c r="C166" s="35"/>
      <c r="D166" s="35"/>
      <c r="E166" s="35"/>
      <c r="F166" s="35"/>
      <c r="G166" s="33"/>
      <c r="H166" s="35"/>
      <c r="I166" s="35"/>
      <c r="J166" s="35"/>
      <c r="K166" s="33"/>
      <c r="L166" s="33"/>
      <c r="M166" s="34"/>
      <c r="N166" s="34"/>
      <c r="O166" s="34"/>
      <c r="P166" s="34" t="str">
        <f aca="false">IF(OR($D166="",$M166=""),"",IF(IFERROR(INDEX(Settings!$C$11:$C$19,MATCH($L166,Settings!$B$11:$B$19,0)),"Yes")="No","",MAX($M166,$O166)+Settings!$C$6))</f>
        <v/>
      </c>
      <c r="Q166" s="36" t="str">
        <f aca="true">IF($D166="","",IF(IFERROR(INDEX(Settings!$C$11:$C$19,MATCH($L166,Settings!$B$11:$B$19,0)),"Yes")="No","",IF($M166="",IF($N166="","",$N166-TODAY()),IF($P166="","",$P166-TODAY()))))</f>
        <v/>
      </c>
      <c r="R166" s="37" t="str">
        <f aca="true">IF($D166="","",IF(IFERROR(INDEX(Settings!$C$11:$C$19,MATCH($L166,Settings!$B$11:$B$19,0)),"Yes")="No","CLOSED",IF($M166="",IF($N166="","ON TRACK",IF($N166&lt;TODAY(),"OVERDUE",IF($N166-TODAY()&lt;=Settings!$C$5,"DUE SOON","ON TRACK"))),IF($P166&lt;=TODAY(),"FOLLOW-UP DUE","ON TRACK"))))</f>
        <v/>
      </c>
      <c r="S166" s="35"/>
      <c r="T166" s="35"/>
      <c r="U166" s="38"/>
      <c r="V166" s="34"/>
      <c r="W166" s="35" t="str">
        <f aca="false">IF(OR($R166="OVERDUE",$R166="DUE SOON",$R166="FOLLOW-UP DUE"),MAX(W$3:W165)+1,"")</f>
        <v/>
      </c>
    </row>
    <row r="167" customFormat="false" ht="15" hidden="false" customHeight="false" outlineLevel="0" collapsed="false">
      <c r="A167" s="33" t="str">
        <f aca="false">IF($D167="","","JOB-"&amp;TEXT(ROW()-3,"000"))</f>
        <v/>
      </c>
      <c r="B167" s="34"/>
      <c r="C167" s="35"/>
      <c r="D167" s="35"/>
      <c r="E167" s="35"/>
      <c r="F167" s="35"/>
      <c r="G167" s="33"/>
      <c r="H167" s="35"/>
      <c r="I167" s="35"/>
      <c r="J167" s="35"/>
      <c r="K167" s="33"/>
      <c r="L167" s="33"/>
      <c r="M167" s="34"/>
      <c r="N167" s="34"/>
      <c r="O167" s="34"/>
      <c r="P167" s="34" t="str">
        <f aca="false">IF(OR($D167="",$M167=""),"",IF(IFERROR(INDEX(Settings!$C$11:$C$19,MATCH($L167,Settings!$B$11:$B$19,0)),"Yes")="No","",MAX($M167,$O167)+Settings!$C$6))</f>
        <v/>
      </c>
      <c r="Q167" s="36" t="str">
        <f aca="true">IF($D167="","",IF(IFERROR(INDEX(Settings!$C$11:$C$19,MATCH($L167,Settings!$B$11:$B$19,0)),"Yes")="No","",IF($M167="",IF($N167="","",$N167-TODAY()),IF($P167="","",$P167-TODAY()))))</f>
        <v/>
      </c>
      <c r="R167" s="37" t="str">
        <f aca="true">IF($D167="","",IF(IFERROR(INDEX(Settings!$C$11:$C$19,MATCH($L167,Settings!$B$11:$B$19,0)),"Yes")="No","CLOSED",IF($M167="",IF($N167="","ON TRACK",IF($N167&lt;TODAY(),"OVERDUE",IF($N167-TODAY()&lt;=Settings!$C$5,"DUE SOON","ON TRACK"))),IF($P167&lt;=TODAY(),"FOLLOW-UP DUE","ON TRACK"))))</f>
        <v/>
      </c>
      <c r="S167" s="35"/>
      <c r="T167" s="35"/>
      <c r="U167" s="38"/>
      <c r="V167" s="34"/>
      <c r="W167" s="35" t="str">
        <f aca="false">IF(OR($R167="OVERDUE",$R167="DUE SOON",$R167="FOLLOW-UP DUE"),MAX(W$3:W166)+1,"")</f>
        <v/>
      </c>
    </row>
    <row r="168" customFormat="false" ht="15" hidden="false" customHeight="false" outlineLevel="0" collapsed="false">
      <c r="A168" s="33" t="str">
        <f aca="false">IF($D168="","","JOB-"&amp;TEXT(ROW()-3,"000"))</f>
        <v/>
      </c>
      <c r="B168" s="34"/>
      <c r="C168" s="35"/>
      <c r="D168" s="35"/>
      <c r="E168" s="35"/>
      <c r="F168" s="35"/>
      <c r="G168" s="33"/>
      <c r="H168" s="35"/>
      <c r="I168" s="35"/>
      <c r="J168" s="35"/>
      <c r="K168" s="33"/>
      <c r="L168" s="33"/>
      <c r="M168" s="34"/>
      <c r="N168" s="34"/>
      <c r="O168" s="34"/>
      <c r="P168" s="34" t="str">
        <f aca="false">IF(OR($D168="",$M168=""),"",IF(IFERROR(INDEX(Settings!$C$11:$C$19,MATCH($L168,Settings!$B$11:$B$19,0)),"Yes")="No","",MAX($M168,$O168)+Settings!$C$6))</f>
        <v/>
      </c>
      <c r="Q168" s="36" t="str">
        <f aca="true">IF($D168="","",IF(IFERROR(INDEX(Settings!$C$11:$C$19,MATCH($L168,Settings!$B$11:$B$19,0)),"Yes")="No","",IF($M168="",IF($N168="","",$N168-TODAY()),IF($P168="","",$P168-TODAY()))))</f>
        <v/>
      </c>
      <c r="R168" s="37" t="str">
        <f aca="true">IF($D168="","",IF(IFERROR(INDEX(Settings!$C$11:$C$19,MATCH($L168,Settings!$B$11:$B$19,0)),"Yes")="No","CLOSED",IF($M168="",IF($N168="","ON TRACK",IF($N168&lt;TODAY(),"OVERDUE",IF($N168-TODAY()&lt;=Settings!$C$5,"DUE SOON","ON TRACK"))),IF($P168&lt;=TODAY(),"FOLLOW-UP DUE","ON TRACK"))))</f>
        <v/>
      </c>
      <c r="S168" s="35"/>
      <c r="T168" s="35"/>
      <c r="U168" s="38"/>
      <c r="V168" s="34"/>
      <c r="W168" s="35" t="str">
        <f aca="false">IF(OR($R168="OVERDUE",$R168="DUE SOON",$R168="FOLLOW-UP DUE"),MAX(W$3:W167)+1,"")</f>
        <v/>
      </c>
    </row>
    <row r="169" customFormat="false" ht="15" hidden="false" customHeight="false" outlineLevel="0" collapsed="false">
      <c r="A169" s="33" t="str">
        <f aca="false">IF($D169="","","JOB-"&amp;TEXT(ROW()-3,"000"))</f>
        <v/>
      </c>
      <c r="B169" s="34"/>
      <c r="C169" s="35"/>
      <c r="D169" s="35"/>
      <c r="E169" s="35"/>
      <c r="F169" s="35"/>
      <c r="G169" s="33"/>
      <c r="H169" s="35"/>
      <c r="I169" s="35"/>
      <c r="J169" s="35"/>
      <c r="K169" s="33"/>
      <c r="L169" s="33"/>
      <c r="M169" s="34"/>
      <c r="N169" s="34"/>
      <c r="O169" s="34"/>
      <c r="P169" s="34" t="str">
        <f aca="false">IF(OR($D169="",$M169=""),"",IF(IFERROR(INDEX(Settings!$C$11:$C$19,MATCH($L169,Settings!$B$11:$B$19,0)),"Yes")="No","",MAX($M169,$O169)+Settings!$C$6))</f>
        <v/>
      </c>
      <c r="Q169" s="36" t="str">
        <f aca="true">IF($D169="","",IF(IFERROR(INDEX(Settings!$C$11:$C$19,MATCH($L169,Settings!$B$11:$B$19,0)),"Yes")="No","",IF($M169="",IF($N169="","",$N169-TODAY()),IF($P169="","",$P169-TODAY()))))</f>
        <v/>
      </c>
      <c r="R169" s="37" t="str">
        <f aca="true">IF($D169="","",IF(IFERROR(INDEX(Settings!$C$11:$C$19,MATCH($L169,Settings!$B$11:$B$19,0)),"Yes")="No","CLOSED",IF($M169="",IF($N169="","ON TRACK",IF($N169&lt;TODAY(),"OVERDUE",IF($N169-TODAY()&lt;=Settings!$C$5,"DUE SOON","ON TRACK"))),IF($P169&lt;=TODAY(),"FOLLOW-UP DUE","ON TRACK"))))</f>
        <v/>
      </c>
      <c r="S169" s="35"/>
      <c r="T169" s="35"/>
      <c r="U169" s="38"/>
      <c r="V169" s="34"/>
      <c r="W169" s="35" t="str">
        <f aca="false">IF(OR($R169="OVERDUE",$R169="DUE SOON",$R169="FOLLOW-UP DUE"),MAX(W$3:W168)+1,"")</f>
        <v/>
      </c>
    </row>
    <row r="170" customFormat="false" ht="15" hidden="false" customHeight="false" outlineLevel="0" collapsed="false">
      <c r="A170" s="33" t="str">
        <f aca="false">IF($D170="","","JOB-"&amp;TEXT(ROW()-3,"000"))</f>
        <v/>
      </c>
      <c r="B170" s="34"/>
      <c r="C170" s="35"/>
      <c r="D170" s="35"/>
      <c r="E170" s="35"/>
      <c r="F170" s="35"/>
      <c r="G170" s="33"/>
      <c r="H170" s="35"/>
      <c r="I170" s="35"/>
      <c r="J170" s="35"/>
      <c r="K170" s="33"/>
      <c r="L170" s="33"/>
      <c r="M170" s="34"/>
      <c r="N170" s="34"/>
      <c r="O170" s="34"/>
      <c r="P170" s="34" t="str">
        <f aca="false">IF(OR($D170="",$M170=""),"",IF(IFERROR(INDEX(Settings!$C$11:$C$19,MATCH($L170,Settings!$B$11:$B$19,0)),"Yes")="No","",MAX($M170,$O170)+Settings!$C$6))</f>
        <v/>
      </c>
      <c r="Q170" s="36" t="str">
        <f aca="true">IF($D170="","",IF(IFERROR(INDEX(Settings!$C$11:$C$19,MATCH($L170,Settings!$B$11:$B$19,0)),"Yes")="No","",IF($M170="",IF($N170="","",$N170-TODAY()),IF($P170="","",$P170-TODAY()))))</f>
        <v/>
      </c>
      <c r="R170" s="37" t="str">
        <f aca="true">IF($D170="","",IF(IFERROR(INDEX(Settings!$C$11:$C$19,MATCH($L170,Settings!$B$11:$B$19,0)),"Yes")="No","CLOSED",IF($M170="",IF($N170="","ON TRACK",IF($N170&lt;TODAY(),"OVERDUE",IF($N170-TODAY()&lt;=Settings!$C$5,"DUE SOON","ON TRACK"))),IF($P170&lt;=TODAY(),"FOLLOW-UP DUE","ON TRACK"))))</f>
        <v/>
      </c>
      <c r="S170" s="35"/>
      <c r="T170" s="35"/>
      <c r="U170" s="38"/>
      <c r="V170" s="34"/>
      <c r="W170" s="35" t="str">
        <f aca="false">IF(OR($R170="OVERDUE",$R170="DUE SOON",$R170="FOLLOW-UP DUE"),MAX(W$3:W169)+1,"")</f>
        <v/>
      </c>
    </row>
    <row r="171" customFormat="false" ht="15" hidden="false" customHeight="false" outlineLevel="0" collapsed="false">
      <c r="A171" s="33" t="str">
        <f aca="false">IF($D171="","","JOB-"&amp;TEXT(ROW()-3,"000"))</f>
        <v/>
      </c>
      <c r="B171" s="34"/>
      <c r="C171" s="35"/>
      <c r="D171" s="35"/>
      <c r="E171" s="35"/>
      <c r="F171" s="35"/>
      <c r="G171" s="33"/>
      <c r="H171" s="35"/>
      <c r="I171" s="35"/>
      <c r="J171" s="35"/>
      <c r="K171" s="33"/>
      <c r="L171" s="33"/>
      <c r="M171" s="34"/>
      <c r="N171" s="34"/>
      <c r="O171" s="34"/>
      <c r="P171" s="34" t="str">
        <f aca="false">IF(OR($D171="",$M171=""),"",IF(IFERROR(INDEX(Settings!$C$11:$C$19,MATCH($L171,Settings!$B$11:$B$19,0)),"Yes")="No","",MAX($M171,$O171)+Settings!$C$6))</f>
        <v/>
      </c>
      <c r="Q171" s="36" t="str">
        <f aca="true">IF($D171="","",IF(IFERROR(INDEX(Settings!$C$11:$C$19,MATCH($L171,Settings!$B$11:$B$19,0)),"Yes")="No","",IF($M171="",IF($N171="","",$N171-TODAY()),IF($P171="","",$P171-TODAY()))))</f>
        <v/>
      </c>
      <c r="R171" s="37" t="str">
        <f aca="true">IF($D171="","",IF(IFERROR(INDEX(Settings!$C$11:$C$19,MATCH($L171,Settings!$B$11:$B$19,0)),"Yes")="No","CLOSED",IF($M171="",IF($N171="","ON TRACK",IF($N171&lt;TODAY(),"OVERDUE",IF($N171-TODAY()&lt;=Settings!$C$5,"DUE SOON","ON TRACK"))),IF($P171&lt;=TODAY(),"FOLLOW-UP DUE","ON TRACK"))))</f>
        <v/>
      </c>
      <c r="S171" s="35"/>
      <c r="T171" s="35"/>
      <c r="U171" s="38"/>
      <c r="V171" s="34"/>
      <c r="W171" s="35" t="str">
        <f aca="false">IF(OR($R171="OVERDUE",$R171="DUE SOON",$R171="FOLLOW-UP DUE"),MAX(W$3:W170)+1,"")</f>
        <v/>
      </c>
    </row>
    <row r="172" customFormat="false" ht="15" hidden="false" customHeight="false" outlineLevel="0" collapsed="false">
      <c r="A172" s="33" t="str">
        <f aca="false">IF($D172="","","JOB-"&amp;TEXT(ROW()-3,"000"))</f>
        <v/>
      </c>
      <c r="B172" s="34"/>
      <c r="C172" s="35"/>
      <c r="D172" s="35"/>
      <c r="E172" s="35"/>
      <c r="F172" s="35"/>
      <c r="G172" s="33"/>
      <c r="H172" s="35"/>
      <c r="I172" s="35"/>
      <c r="J172" s="35"/>
      <c r="K172" s="33"/>
      <c r="L172" s="33"/>
      <c r="M172" s="34"/>
      <c r="N172" s="34"/>
      <c r="O172" s="34"/>
      <c r="P172" s="34" t="str">
        <f aca="false">IF(OR($D172="",$M172=""),"",IF(IFERROR(INDEX(Settings!$C$11:$C$19,MATCH($L172,Settings!$B$11:$B$19,0)),"Yes")="No","",MAX($M172,$O172)+Settings!$C$6))</f>
        <v/>
      </c>
      <c r="Q172" s="36" t="str">
        <f aca="true">IF($D172="","",IF(IFERROR(INDEX(Settings!$C$11:$C$19,MATCH($L172,Settings!$B$11:$B$19,0)),"Yes")="No","",IF($M172="",IF($N172="","",$N172-TODAY()),IF($P172="","",$P172-TODAY()))))</f>
        <v/>
      </c>
      <c r="R172" s="37" t="str">
        <f aca="true">IF($D172="","",IF(IFERROR(INDEX(Settings!$C$11:$C$19,MATCH($L172,Settings!$B$11:$B$19,0)),"Yes")="No","CLOSED",IF($M172="",IF($N172="","ON TRACK",IF($N172&lt;TODAY(),"OVERDUE",IF($N172-TODAY()&lt;=Settings!$C$5,"DUE SOON","ON TRACK"))),IF($P172&lt;=TODAY(),"FOLLOW-UP DUE","ON TRACK"))))</f>
        <v/>
      </c>
      <c r="S172" s="35"/>
      <c r="T172" s="35"/>
      <c r="U172" s="38"/>
      <c r="V172" s="34"/>
      <c r="W172" s="35" t="str">
        <f aca="false">IF(OR($R172="OVERDUE",$R172="DUE SOON",$R172="FOLLOW-UP DUE"),MAX(W$3:W171)+1,"")</f>
        <v/>
      </c>
    </row>
    <row r="173" customFormat="false" ht="15" hidden="false" customHeight="false" outlineLevel="0" collapsed="false">
      <c r="A173" s="33" t="str">
        <f aca="false">IF($D173="","","JOB-"&amp;TEXT(ROW()-3,"000"))</f>
        <v/>
      </c>
      <c r="B173" s="34"/>
      <c r="C173" s="35"/>
      <c r="D173" s="35"/>
      <c r="E173" s="35"/>
      <c r="F173" s="35"/>
      <c r="G173" s="33"/>
      <c r="H173" s="35"/>
      <c r="I173" s="35"/>
      <c r="J173" s="35"/>
      <c r="K173" s="33"/>
      <c r="L173" s="33"/>
      <c r="M173" s="34"/>
      <c r="N173" s="34"/>
      <c r="O173" s="34"/>
      <c r="P173" s="34" t="str">
        <f aca="false">IF(OR($D173="",$M173=""),"",IF(IFERROR(INDEX(Settings!$C$11:$C$19,MATCH($L173,Settings!$B$11:$B$19,0)),"Yes")="No","",MAX($M173,$O173)+Settings!$C$6))</f>
        <v/>
      </c>
      <c r="Q173" s="36" t="str">
        <f aca="true">IF($D173="","",IF(IFERROR(INDEX(Settings!$C$11:$C$19,MATCH($L173,Settings!$B$11:$B$19,0)),"Yes")="No","",IF($M173="",IF($N173="","",$N173-TODAY()),IF($P173="","",$P173-TODAY()))))</f>
        <v/>
      </c>
      <c r="R173" s="37" t="str">
        <f aca="true">IF($D173="","",IF(IFERROR(INDEX(Settings!$C$11:$C$19,MATCH($L173,Settings!$B$11:$B$19,0)),"Yes")="No","CLOSED",IF($M173="",IF($N173="","ON TRACK",IF($N173&lt;TODAY(),"OVERDUE",IF($N173-TODAY()&lt;=Settings!$C$5,"DUE SOON","ON TRACK"))),IF($P173&lt;=TODAY(),"FOLLOW-UP DUE","ON TRACK"))))</f>
        <v/>
      </c>
      <c r="S173" s="35"/>
      <c r="T173" s="35"/>
      <c r="U173" s="38"/>
      <c r="V173" s="34"/>
      <c r="W173" s="35" t="str">
        <f aca="false">IF(OR($R173="OVERDUE",$R173="DUE SOON",$R173="FOLLOW-UP DUE"),MAX(W$3:W172)+1,"")</f>
        <v/>
      </c>
    </row>
    <row r="174" customFormat="false" ht="15" hidden="false" customHeight="false" outlineLevel="0" collapsed="false">
      <c r="A174" s="33" t="str">
        <f aca="false">IF($D174="","","JOB-"&amp;TEXT(ROW()-3,"000"))</f>
        <v/>
      </c>
      <c r="B174" s="34"/>
      <c r="C174" s="35"/>
      <c r="D174" s="35"/>
      <c r="E174" s="35"/>
      <c r="F174" s="35"/>
      <c r="G174" s="33"/>
      <c r="H174" s="35"/>
      <c r="I174" s="35"/>
      <c r="J174" s="35"/>
      <c r="K174" s="33"/>
      <c r="L174" s="33"/>
      <c r="M174" s="34"/>
      <c r="N174" s="34"/>
      <c r="O174" s="34"/>
      <c r="P174" s="34" t="str">
        <f aca="false">IF(OR($D174="",$M174=""),"",IF(IFERROR(INDEX(Settings!$C$11:$C$19,MATCH($L174,Settings!$B$11:$B$19,0)),"Yes")="No","",MAX($M174,$O174)+Settings!$C$6))</f>
        <v/>
      </c>
      <c r="Q174" s="36" t="str">
        <f aca="true">IF($D174="","",IF(IFERROR(INDEX(Settings!$C$11:$C$19,MATCH($L174,Settings!$B$11:$B$19,0)),"Yes")="No","",IF($M174="",IF($N174="","",$N174-TODAY()),IF($P174="","",$P174-TODAY()))))</f>
        <v/>
      </c>
      <c r="R174" s="37" t="str">
        <f aca="true">IF($D174="","",IF(IFERROR(INDEX(Settings!$C$11:$C$19,MATCH($L174,Settings!$B$11:$B$19,0)),"Yes")="No","CLOSED",IF($M174="",IF($N174="","ON TRACK",IF($N174&lt;TODAY(),"OVERDUE",IF($N174-TODAY()&lt;=Settings!$C$5,"DUE SOON","ON TRACK"))),IF($P174&lt;=TODAY(),"FOLLOW-UP DUE","ON TRACK"))))</f>
        <v/>
      </c>
      <c r="S174" s="35"/>
      <c r="T174" s="35"/>
      <c r="U174" s="38"/>
      <c r="V174" s="34"/>
      <c r="W174" s="35" t="str">
        <f aca="false">IF(OR($R174="OVERDUE",$R174="DUE SOON",$R174="FOLLOW-UP DUE"),MAX(W$3:W173)+1,"")</f>
        <v/>
      </c>
    </row>
    <row r="175" customFormat="false" ht="15" hidden="false" customHeight="false" outlineLevel="0" collapsed="false">
      <c r="A175" s="33" t="str">
        <f aca="false">IF($D175="","","JOB-"&amp;TEXT(ROW()-3,"000"))</f>
        <v/>
      </c>
      <c r="B175" s="34"/>
      <c r="C175" s="35"/>
      <c r="D175" s="35"/>
      <c r="E175" s="35"/>
      <c r="F175" s="35"/>
      <c r="G175" s="33"/>
      <c r="H175" s="35"/>
      <c r="I175" s="35"/>
      <c r="J175" s="35"/>
      <c r="K175" s="33"/>
      <c r="L175" s="33"/>
      <c r="M175" s="34"/>
      <c r="N175" s="34"/>
      <c r="O175" s="34"/>
      <c r="P175" s="34" t="str">
        <f aca="false">IF(OR($D175="",$M175=""),"",IF(IFERROR(INDEX(Settings!$C$11:$C$19,MATCH($L175,Settings!$B$11:$B$19,0)),"Yes")="No","",MAX($M175,$O175)+Settings!$C$6))</f>
        <v/>
      </c>
      <c r="Q175" s="36" t="str">
        <f aca="true">IF($D175="","",IF(IFERROR(INDEX(Settings!$C$11:$C$19,MATCH($L175,Settings!$B$11:$B$19,0)),"Yes")="No","",IF($M175="",IF($N175="","",$N175-TODAY()),IF($P175="","",$P175-TODAY()))))</f>
        <v/>
      </c>
      <c r="R175" s="37" t="str">
        <f aca="true">IF($D175="","",IF(IFERROR(INDEX(Settings!$C$11:$C$19,MATCH($L175,Settings!$B$11:$B$19,0)),"Yes")="No","CLOSED",IF($M175="",IF($N175="","ON TRACK",IF($N175&lt;TODAY(),"OVERDUE",IF($N175-TODAY()&lt;=Settings!$C$5,"DUE SOON","ON TRACK"))),IF($P175&lt;=TODAY(),"FOLLOW-UP DUE","ON TRACK"))))</f>
        <v/>
      </c>
      <c r="S175" s="35"/>
      <c r="T175" s="35"/>
      <c r="U175" s="38"/>
      <c r="V175" s="34"/>
      <c r="W175" s="35" t="str">
        <f aca="false">IF(OR($R175="OVERDUE",$R175="DUE SOON",$R175="FOLLOW-UP DUE"),MAX(W$3:W174)+1,"")</f>
        <v/>
      </c>
    </row>
    <row r="176" customFormat="false" ht="15" hidden="false" customHeight="false" outlineLevel="0" collapsed="false">
      <c r="A176" s="33" t="str">
        <f aca="false">IF($D176="","","JOB-"&amp;TEXT(ROW()-3,"000"))</f>
        <v/>
      </c>
      <c r="B176" s="34"/>
      <c r="C176" s="35"/>
      <c r="D176" s="35"/>
      <c r="E176" s="35"/>
      <c r="F176" s="35"/>
      <c r="G176" s="33"/>
      <c r="H176" s="35"/>
      <c r="I176" s="35"/>
      <c r="J176" s="35"/>
      <c r="K176" s="33"/>
      <c r="L176" s="33"/>
      <c r="M176" s="34"/>
      <c r="N176" s="34"/>
      <c r="O176" s="34"/>
      <c r="P176" s="34" t="str">
        <f aca="false">IF(OR($D176="",$M176=""),"",IF(IFERROR(INDEX(Settings!$C$11:$C$19,MATCH($L176,Settings!$B$11:$B$19,0)),"Yes")="No","",MAX($M176,$O176)+Settings!$C$6))</f>
        <v/>
      </c>
      <c r="Q176" s="36" t="str">
        <f aca="true">IF($D176="","",IF(IFERROR(INDEX(Settings!$C$11:$C$19,MATCH($L176,Settings!$B$11:$B$19,0)),"Yes")="No","",IF($M176="",IF($N176="","",$N176-TODAY()),IF($P176="","",$P176-TODAY()))))</f>
        <v/>
      </c>
      <c r="R176" s="37" t="str">
        <f aca="true">IF($D176="","",IF(IFERROR(INDEX(Settings!$C$11:$C$19,MATCH($L176,Settings!$B$11:$B$19,0)),"Yes")="No","CLOSED",IF($M176="",IF($N176="","ON TRACK",IF($N176&lt;TODAY(),"OVERDUE",IF($N176-TODAY()&lt;=Settings!$C$5,"DUE SOON","ON TRACK"))),IF($P176&lt;=TODAY(),"FOLLOW-UP DUE","ON TRACK"))))</f>
        <v/>
      </c>
      <c r="S176" s="35"/>
      <c r="T176" s="35"/>
      <c r="U176" s="38"/>
      <c r="V176" s="34"/>
      <c r="W176" s="35" t="str">
        <f aca="false">IF(OR($R176="OVERDUE",$R176="DUE SOON",$R176="FOLLOW-UP DUE"),MAX(W$3:W175)+1,"")</f>
        <v/>
      </c>
    </row>
    <row r="177" customFormat="false" ht="15" hidden="false" customHeight="false" outlineLevel="0" collapsed="false">
      <c r="A177" s="33" t="str">
        <f aca="false">IF($D177="","","JOB-"&amp;TEXT(ROW()-3,"000"))</f>
        <v/>
      </c>
      <c r="B177" s="34"/>
      <c r="C177" s="35"/>
      <c r="D177" s="35"/>
      <c r="E177" s="35"/>
      <c r="F177" s="35"/>
      <c r="G177" s="33"/>
      <c r="H177" s="35"/>
      <c r="I177" s="35"/>
      <c r="J177" s="35"/>
      <c r="K177" s="33"/>
      <c r="L177" s="33"/>
      <c r="M177" s="34"/>
      <c r="N177" s="34"/>
      <c r="O177" s="34"/>
      <c r="P177" s="34" t="str">
        <f aca="false">IF(OR($D177="",$M177=""),"",IF(IFERROR(INDEX(Settings!$C$11:$C$19,MATCH($L177,Settings!$B$11:$B$19,0)),"Yes")="No","",MAX($M177,$O177)+Settings!$C$6))</f>
        <v/>
      </c>
      <c r="Q177" s="36" t="str">
        <f aca="true">IF($D177="","",IF(IFERROR(INDEX(Settings!$C$11:$C$19,MATCH($L177,Settings!$B$11:$B$19,0)),"Yes")="No","",IF($M177="",IF($N177="","",$N177-TODAY()),IF($P177="","",$P177-TODAY()))))</f>
        <v/>
      </c>
      <c r="R177" s="37" t="str">
        <f aca="true">IF($D177="","",IF(IFERROR(INDEX(Settings!$C$11:$C$19,MATCH($L177,Settings!$B$11:$B$19,0)),"Yes")="No","CLOSED",IF($M177="",IF($N177="","ON TRACK",IF($N177&lt;TODAY(),"OVERDUE",IF($N177-TODAY()&lt;=Settings!$C$5,"DUE SOON","ON TRACK"))),IF($P177&lt;=TODAY(),"FOLLOW-UP DUE","ON TRACK"))))</f>
        <v/>
      </c>
      <c r="S177" s="35"/>
      <c r="T177" s="35"/>
      <c r="U177" s="38"/>
      <c r="V177" s="34"/>
      <c r="W177" s="35" t="str">
        <f aca="false">IF(OR($R177="OVERDUE",$R177="DUE SOON",$R177="FOLLOW-UP DUE"),MAX(W$3:W176)+1,"")</f>
        <v/>
      </c>
    </row>
    <row r="178" customFormat="false" ht="15" hidden="false" customHeight="false" outlineLevel="0" collapsed="false">
      <c r="A178" s="33" t="str">
        <f aca="false">IF($D178="","","JOB-"&amp;TEXT(ROW()-3,"000"))</f>
        <v/>
      </c>
      <c r="B178" s="34"/>
      <c r="C178" s="35"/>
      <c r="D178" s="35"/>
      <c r="E178" s="35"/>
      <c r="F178" s="35"/>
      <c r="G178" s="33"/>
      <c r="H178" s="35"/>
      <c r="I178" s="35"/>
      <c r="J178" s="35"/>
      <c r="K178" s="33"/>
      <c r="L178" s="33"/>
      <c r="M178" s="34"/>
      <c r="N178" s="34"/>
      <c r="O178" s="34"/>
      <c r="P178" s="34" t="str">
        <f aca="false">IF(OR($D178="",$M178=""),"",IF(IFERROR(INDEX(Settings!$C$11:$C$19,MATCH($L178,Settings!$B$11:$B$19,0)),"Yes")="No","",MAX($M178,$O178)+Settings!$C$6))</f>
        <v/>
      </c>
      <c r="Q178" s="36" t="str">
        <f aca="true">IF($D178="","",IF(IFERROR(INDEX(Settings!$C$11:$C$19,MATCH($L178,Settings!$B$11:$B$19,0)),"Yes")="No","",IF($M178="",IF($N178="","",$N178-TODAY()),IF($P178="","",$P178-TODAY()))))</f>
        <v/>
      </c>
      <c r="R178" s="37" t="str">
        <f aca="true">IF($D178="","",IF(IFERROR(INDEX(Settings!$C$11:$C$19,MATCH($L178,Settings!$B$11:$B$19,0)),"Yes")="No","CLOSED",IF($M178="",IF($N178="","ON TRACK",IF($N178&lt;TODAY(),"OVERDUE",IF($N178-TODAY()&lt;=Settings!$C$5,"DUE SOON","ON TRACK"))),IF($P178&lt;=TODAY(),"FOLLOW-UP DUE","ON TRACK"))))</f>
        <v/>
      </c>
      <c r="S178" s="35"/>
      <c r="T178" s="35"/>
      <c r="U178" s="38"/>
      <c r="V178" s="34"/>
      <c r="W178" s="35" t="str">
        <f aca="false">IF(OR($R178="OVERDUE",$R178="DUE SOON",$R178="FOLLOW-UP DUE"),MAX(W$3:W177)+1,"")</f>
        <v/>
      </c>
    </row>
    <row r="179" customFormat="false" ht="15" hidden="false" customHeight="false" outlineLevel="0" collapsed="false">
      <c r="A179" s="33" t="str">
        <f aca="false">IF($D179="","","JOB-"&amp;TEXT(ROW()-3,"000"))</f>
        <v/>
      </c>
      <c r="B179" s="34"/>
      <c r="C179" s="35"/>
      <c r="D179" s="35"/>
      <c r="E179" s="35"/>
      <c r="F179" s="35"/>
      <c r="G179" s="33"/>
      <c r="H179" s="35"/>
      <c r="I179" s="35"/>
      <c r="J179" s="35"/>
      <c r="K179" s="33"/>
      <c r="L179" s="33"/>
      <c r="M179" s="34"/>
      <c r="N179" s="34"/>
      <c r="O179" s="34"/>
      <c r="P179" s="34" t="str">
        <f aca="false">IF(OR($D179="",$M179=""),"",IF(IFERROR(INDEX(Settings!$C$11:$C$19,MATCH($L179,Settings!$B$11:$B$19,0)),"Yes")="No","",MAX($M179,$O179)+Settings!$C$6))</f>
        <v/>
      </c>
      <c r="Q179" s="36" t="str">
        <f aca="true">IF($D179="","",IF(IFERROR(INDEX(Settings!$C$11:$C$19,MATCH($L179,Settings!$B$11:$B$19,0)),"Yes")="No","",IF($M179="",IF($N179="","",$N179-TODAY()),IF($P179="","",$P179-TODAY()))))</f>
        <v/>
      </c>
      <c r="R179" s="37" t="str">
        <f aca="true">IF($D179="","",IF(IFERROR(INDEX(Settings!$C$11:$C$19,MATCH($L179,Settings!$B$11:$B$19,0)),"Yes")="No","CLOSED",IF($M179="",IF($N179="","ON TRACK",IF($N179&lt;TODAY(),"OVERDUE",IF($N179-TODAY()&lt;=Settings!$C$5,"DUE SOON","ON TRACK"))),IF($P179&lt;=TODAY(),"FOLLOW-UP DUE","ON TRACK"))))</f>
        <v/>
      </c>
      <c r="S179" s="35"/>
      <c r="T179" s="35"/>
      <c r="U179" s="38"/>
      <c r="V179" s="34"/>
      <c r="W179" s="35" t="str">
        <f aca="false">IF(OR($R179="OVERDUE",$R179="DUE SOON",$R179="FOLLOW-UP DUE"),MAX(W$3:W178)+1,"")</f>
        <v/>
      </c>
    </row>
    <row r="180" customFormat="false" ht="15" hidden="false" customHeight="false" outlineLevel="0" collapsed="false">
      <c r="A180" s="33" t="str">
        <f aca="false">IF($D180="","","JOB-"&amp;TEXT(ROW()-3,"000"))</f>
        <v/>
      </c>
      <c r="B180" s="34"/>
      <c r="C180" s="35"/>
      <c r="D180" s="35"/>
      <c r="E180" s="35"/>
      <c r="F180" s="35"/>
      <c r="G180" s="33"/>
      <c r="H180" s="35"/>
      <c r="I180" s="35"/>
      <c r="J180" s="35"/>
      <c r="K180" s="33"/>
      <c r="L180" s="33"/>
      <c r="M180" s="34"/>
      <c r="N180" s="34"/>
      <c r="O180" s="34"/>
      <c r="P180" s="34" t="str">
        <f aca="false">IF(OR($D180="",$M180=""),"",IF(IFERROR(INDEX(Settings!$C$11:$C$19,MATCH($L180,Settings!$B$11:$B$19,0)),"Yes")="No","",MAX($M180,$O180)+Settings!$C$6))</f>
        <v/>
      </c>
      <c r="Q180" s="36" t="str">
        <f aca="true">IF($D180="","",IF(IFERROR(INDEX(Settings!$C$11:$C$19,MATCH($L180,Settings!$B$11:$B$19,0)),"Yes")="No","",IF($M180="",IF($N180="","",$N180-TODAY()),IF($P180="","",$P180-TODAY()))))</f>
        <v/>
      </c>
      <c r="R180" s="37" t="str">
        <f aca="true">IF($D180="","",IF(IFERROR(INDEX(Settings!$C$11:$C$19,MATCH($L180,Settings!$B$11:$B$19,0)),"Yes")="No","CLOSED",IF($M180="",IF($N180="","ON TRACK",IF($N180&lt;TODAY(),"OVERDUE",IF($N180-TODAY()&lt;=Settings!$C$5,"DUE SOON","ON TRACK"))),IF($P180&lt;=TODAY(),"FOLLOW-UP DUE","ON TRACK"))))</f>
        <v/>
      </c>
      <c r="S180" s="35"/>
      <c r="T180" s="35"/>
      <c r="U180" s="38"/>
      <c r="V180" s="34"/>
      <c r="W180" s="35" t="str">
        <f aca="false">IF(OR($R180="OVERDUE",$R180="DUE SOON",$R180="FOLLOW-UP DUE"),MAX(W$3:W179)+1,"")</f>
        <v/>
      </c>
    </row>
    <row r="181" customFormat="false" ht="15" hidden="false" customHeight="false" outlineLevel="0" collapsed="false">
      <c r="A181" s="33" t="str">
        <f aca="false">IF($D181="","","JOB-"&amp;TEXT(ROW()-3,"000"))</f>
        <v/>
      </c>
      <c r="B181" s="34"/>
      <c r="C181" s="35"/>
      <c r="D181" s="35"/>
      <c r="E181" s="35"/>
      <c r="F181" s="35"/>
      <c r="G181" s="33"/>
      <c r="H181" s="35"/>
      <c r="I181" s="35"/>
      <c r="J181" s="35"/>
      <c r="K181" s="33"/>
      <c r="L181" s="33"/>
      <c r="M181" s="34"/>
      <c r="N181" s="34"/>
      <c r="O181" s="34"/>
      <c r="P181" s="34" t="str">
        <f aca="false">IF(OR($D181="",$M181=""),"",IF(IFERROR(INDEX(Settings!$C$11:$C$19,MATCH($L181,Settings!$B$11:$B$19,0)),"Yes")="No","",MAX($M181,$O181)+Settings!$C$6))</f>
        <v/>
      </c>
      <c r="Q181" s="36" t="str">
        <f aca="true">IF($D181="","",IF(IFERROR(INDEX(Settings!$C$11:$C$19,MATCH($L181,Settings!$B$11:$B$19,0)),"Yes")="No","",IF($M181="",IF($N181="","",$N181-TODAY()),IF($P181="","",$P181-TODAY()))))</f>
        <v/>
      </c>
      <c r="R181" s="37" t="str">
        <f aca="true">IF($D181="","",IF(IFERROR(INDEX(Settings!$C$11:$C$19,MATCH($L181,Settings!$B$11:$B$19,0)),"Yes")="No","CLOSED",IF($M181="",IF($N181="","ON TRACK",IF($N181&lt;TODAY(),"OVERDUE",IF($N181-TODAY()&lt;=Settings!$C$5,"DUE SOON","ON TRACK"))),IF($P181&lt;=TODAY(),"FOLLOW-UP DUE","ON TRACK"))))</f>
        <v/>
      </c>
      <c r="S181" s="35"/>
      <c r="T181" s="35"/>
      <c r="U181" s="38"/>
      <c r="V181" s="34"/>
      <c r="W181" s="35" t="str">
        <f aca="false">IF(OR($R181="OVERDUE",$R181="DUE SOON",$R181="FOLLOW-UP DUE"),MAX(W$3:W180)+1,"")</f>
        <v/>
      </c>
    </row>
    <row r="182" customFormat="false" ht="15" hidden="false" customHeight="false" outlineLevel="0" collapsed="false">
      <c r="A182" s="33" t="str">
        <f aca="false">IF($D182="","","JOB-"&amp;TEXT(ROW()-3,"000"))</f>
        <v/>
      </c>
      <c r="B182" s="34"/>
      <c r="C182" s="35"/>
      <c r="D182" s="35"/>
      <c r="E182" s="35"/>
      <c r="F182" s="35"/>
      <c r="G182" s="33"/>
      <c r="H182" s="35"/>
      <c r="I182" s="35"/>
      <c r="J182" s="35"/>
      <c r="K182" s="33"/>
      <c r="L182" s="33"/>
      <c r="M182" s="34"/>
      <c r="N182" s="34"/>
      <c r="O182" s="34"/>
      <c r="P182" s="34" t="str">
        <f aca="false">IF(OR($D182="",$M182=""),"",IF(IFERROR(INDEX(Settings!$C$11:$C$19,MATCH($L182,Settings!$B$11:$B$19,0)),"Yes")="No","",MAX($M182,$O182)+Settings!$C$6))</f>
        <v/>
      </c>
      <c r="Q182" s="36" t="str">
        <f aca="true">IF($D182="","",IF(IFERROR(INDEX(Settings!$C$11:$C$19,MATCH($L182,Settings!$B$11:$B$19,0)),"Yes")="No","",IF($M182="",IF($N182="","",$N182-TODAY()),IF($P182="","",$P182-TODAY()))))</f>
        <v/>
      </c>
      <c r="R182" s="37" t="str">
        <f aca="true">IF($D182="","",IF(IFERROR(INDEX(Settings!$C$11:$C$19,MATCH($L182,Settings!$B$11:$B$19,0)),"Yes")="No","CLOSED",IF($M182="",IF($N182="","ON TRACK",IF($N182&lt;TODAY(),"OVERDUE",IF($N182-TODAY()&lt;=Settings!$C$5,"DUE SOON","ON TRACK"))),IF($P182&lt;=TODAY(),"FOLLOW-UP DUE","ON TRACK"))))</f>
        <v/>
      </c>
      <c r="S182" s="35"/>
      <c r="T182" s="35"/>
      <c r="U182" s="38"/>
      <c r="V182" s="34"/>
      <c r="W182" s="35" t="str">
        <f aca="false">IF(OR($R182="OVERDUE",$R182="DUE SOON",$R182="FOLLOW-UP DUE"),MAX(W$3:W181)+1,"")</f>
        <v/>
      </c>
    </row>
    <row r="183" customFormat="false" ht="15" hidden="false" customHeight="false" outlineLevel="0" collapsed="false">
      <c r="A183" s="33" t="str">
        <f aca="false">IF($D183="","","JOB-"&amp;TEXT(ROW()-3,"000"))</f>
        <v/>
      </c>
      <c r="B183" s="34"/>
      <c r="C183" s="35"/>
      <c r="D183" s="35"/>
      <c r="E183" s="35"/>
      <c r="F183" s="35"/>
      <c r="G183" s="33"/>
      <c r="H183" s="35"/>
      <c r="I183" s="35"/>
      <c r="J183" s="35"/>
      <c r="K183" s="33"/>
      <c r="L183" s="33"/>
      <c r="M183" s="34"/>
      <c r="N183" s="34"/>
      <c r="O183" s="34"/>
      <c r="P183" s="34" t="str">
        <f aca="false">IF(OR($D183="",$M183=""),"",IF(IFERROR(INDEX(Settings!$C$11:$C$19,MATCH($L183,Settings!$B$11:$B$19,0)),"Yes")="No","",MAX($M183,$O183)+Settings!$C$6))</f>
        <v/>
      </c>
      <c r="Q183" s="36" t="str">
        <f aca="true">IF($D183="","",IF(IFERROR(INDEX(Settings!$C$11:$C$19,MATCH($L183,Settings!$B$11:$B$19,0)),"Yes")="No","",IF($M183="",IF($N183="","",$N183-TODAY()),IF($P183="","",$P183-TODAY()))))</f>
        <v/>
      </c>
      <c r="R183" s="37" t="str">
        <f aca="true">IF($D183="","",IF(IFERROR(INDEX(Settings!$C$11:$C$19,MATCH($L183,Settings!$B$11:$B$19,0)),"Yes")="No","CLOSED",IF($M183="",IF($N183="","ON TRACK",IF($N183&lt;TODAY(),"OVERDUE",IF($N183-TODAY()&lt;=Settings!$C$5,"DUE SOON","ON TRACK"))),IF($P183&lt;=TODAY(),"FOLLOW-UP DUE","ON TRACK"))))</f>
        <v/>
      </c>
      <c r="S183" s="35"/>
      <c r="T183" s="35"/>
      <c r="U183" s="38"/>
      <c r="V183" s="34"/>
      <c r="W183" s="35" t="str">
        <f aca="false">IF(OR($R183="OVERDUE",$R183="DUE SOON",$R183="FOLLOW-UP DUE"),MAX(W$3:W182)+1,"")</f>
        <v/>
      </c>
    </row>
    <row r="184" customFormat="false" ht="15" hidden="false" customHeight="false" outlineLevel="0" collapsed="false">
      <c r="A184" s="33" t="str">
        <f aca="false">IF($D184="","","JOB-"&amp;TEXT(ROW()-3,"000"))</f>
        <v/>
      </c>
      <c r="B184" s="34"/>
      <c r="C184" s="35"/>
      <c r="D184" s="35"/>
      <c r="E184" s="35"/>
      <c r="F184" s="35"/>
      <c r="G184" s="33"/>
      <c r="H184" s="35"/>
      <c r="I184" s="35"/>
      <c r="J184" s="35"/>
      <c r="K184" s="33"/>
      <c r="L184" s="33"/>
      <c r="M184" s="34"/>
      <c r="N184" s="34"/>
      <c r="O184" s="34"/>
      <c r="P184" s="34" t="str">
        <f aca="false">IF(OR($D184="",$M184=""),"",IF(IFERROR(INDEX(Settings!$C$11:$C$19,MATCH($L184,Settings!$B$11:$B$19,0)),"Yes")="No","",MAX($M184,$O184)+Settings!$C$6))</f>
        <v/>
      </c>
      <c r="Q184" s="36" t="str">
        <f aca="true">IF($D184="","",IF(IFERROR(INDEX(Settings!$C$11:$C$19,MATCH($L184,Settings!$B$11:$B$19,0)),"Yes")="No","",IF($M184="",IF($N184="","",$N184-TODAY()),IF($P184="","",$P184-TODAY()))))</f>
        <v/>
      </c>
      <c r="R184" s="37" t="str">
        <f aca="true">IF($D184="","",IF(IFERROR(INDEX(Settings!$C$11:$C$19,MATCH($L184,Settings!$B$11:$B$19,0)),"Yes")="No","CLOSED",IF($M184="",IF($N184="","ON TRACK",IF($N184&lt;TODAY(),"OVERDUE",IF($N184-TODAY()&lt;=Settings!$C$5,"DUE SOON","ON TRACK"))),IF($P184&lt;=TODAY(),"FOLLOW-UP DUE","ON TRACK"))))</f>
        <v/>
      </c>
      <c r="S184" s="35"/>
      <c r="T184" s="35"/>
      <c r="U184" s="38"/>
      <c r="V184" s="34"/>
      <c r="W184" s="35" t="str">
        <f aca="false">IF(OR($R184="OVERDUE",$R184="DUE SOON",$R184="FOLLOW-UP DUE"),MAX(W$3:W183)+1,"")</f>
        <v/>
      </c>
    </row>
    <row r="185" customFormat="false" ht="15" hidden="false" customHeight="false" outlineLevel="0" collapsed="false">
      <c r="A185" s="33" t="str">
        <f aca="false">IF($D185="","","JOB-"&amp;TEXT(ROW()-3,"000"))</f>
        <v/>
      </c>
      <c r="B185" s="34"/>
      <c r="C185" s="35"/>
      <c r="D185" s="35"/>
      <c r="E185" s="35"/>
      <c r="F185" s="35"/>
      <c r="G185" s="33"/>
      <c r="H185" s="35"/>
      <c r="I185" s="35"/>
      <c r="J185" s="35"/>
      <c r="K185" s="33"/>
      <c r="L185" s="33"/>
      <c r="M185" s="34"/>
      <c r="N185" s="34"/>
      <c r="O185" s="34"/>
      <c r="P185" s="34" t="str">
        <f aca="false">IF(OR($D185="",$M185=""),"",IF(IFERROR(INDEX(Settings!$C$11:$C$19,MATCH($L185,Settings!$B$11:$B$19,0)),"Yes")="No","",MAX($M185,$O185)+Settings!$C$6))</f>
        <v/>
      </c>
      <c r="Q185" s="36" t="str">
        <f aca="true">IF($D185="","",IF(IFERROR(INDEX(Settings!$C$11:$C$19,MATCH($L185,Settings!$B$11:$B$19,0)),"Yes")="No","",IF($M185="",IF($N185="","",$N185-TODAY()),IF($P185="","",$P185-TODAY()))))</f>
        <v/>
      </c>
      <c r="R185" s="37" t="str">
        <f aca="true">IF($D185="","",IF(IFERROR(INDEX(Settings!$C$11:$C$19,MATCH($L185,Settings!$B$11:$B$19,0)),"Yes")="No","CLOSED",IF($M185="",IF($N185="","ON TRACK",IF($N185&lt;TODAY(),"OVERDUE",IF($N185-TODAY()&lt;=Settings!$C$5,"DUE SOON","ON TRACK"))),IF($P185&lt;=TODAY(),"FOLLOW-UP DUE","ON TRACK"))))</f>
        <v/>
      </c>
      <c r="S185" s="35"/>
      <c r="T185" s="35"/>
      <c r="U185" s="38"/>
      <c r="V185" s="34"/>
      <c r="W185" s="35" t="str">
        <f aca="false">IF(OR($R185="OVERDUE",$R185="DUE SOON",$R185="FOLLOW-UP DUE"),MAX(W$3:W184)+1,"")</f>
        <v/>
      </c>
    </row>
    <row r="186" customFormat="false" ht="15" hidden="false" customHeight="false" outlineLevel="0" collapsed="false">
      <c r="A186" s="33" t="str">
        <f aca="false">IF($D186="","","JOB-"&amp;TEXT(ROW()-3,"000"))</f>
        <v/>
      </c>
      <c r="B186" s="34"/>
      <c r="C186" s="35"/>
      <c r="D186" s="35"/>
      <c r="E186" s="35"/>
      <c r="F186" s="35"/>
      <c r="G186" s="33"/>
      <c r="H186" s="35"/>
      <c r="I186" s="35"/>
      <c r="J186" s="35"/>
      <c r="K186" s="33"/>
      <c r="L186" s="33"/>
      <c r="M186" s="34"/>
      <c r="N186" s="34"/>
      <c r="O186" s="34"/>
      <c r="P186" s="34" t="str">
        <f aca="false">IF(OR($D186="",$M186=""),"",IF(IFERROR(INDEX(Settings!$C$11:$C$19,MATCH($L186,Settings!$B$11:$B$19,0)),"Yes")="No","",MAX($M186,$O186)+Settings!$C$6))</f>
        <v/>
      </c>
      <c r="Q186" s="36" t="str">
        <f aca="true">IF($D186="","",IF(IFERROR(INDEX(Settings!$C$11:$C$19,MATCH($L186,Settings!$B$11:$B$19,0)),"Yes")="No","",IF($M186="",IF($N186="","",$N186-TODAY()),IF($P186="","",$P186-TODAY()))))</f>
        <v/>
      </c>
      <c r="R186" s="37" t="str">
        <f aca="true">IF($D186="","",IF(IFERROR(INDEX(Settings!$C$11:$C$19,MATCH($L186,Settings!$B$11:$B$19,0)),"Yes")="No","CLOSED",IF($M186="",IF($N186="","ON TRACK",IF($N186&lt;TODAY(),"OVERDUE",IF($N186-TODAY()&lt;=Settings!$C$5,"DUE SOON","ON TRACK"))),IF($P186&lt;=TODAY(),"FOLLOW-UP DUE","ON TRACK"))))</f>
        <v/>
      </c>
      <c r="S186" s="35"/>
      <c r="T186" s="35"/>
      <c r="U186" s="38"/>
      <c r="V186" s="34"/>
      <c r="W186" s="35" t="str">
        <f aca="false">IF(OR($R186="OVERDUE",$R186="DUE SOON",$R186="FOLLOW-UP DUE"),MAX(W$3:W185)+1,"")</f>
        <v/>
      </c>
    </row>
    <row r="187" customFormat="false" ht="15" hidden="false" customHeight="false" outlineLevel="0" collapsed="false">
      <c r="A187" s="33" t="str">
        <f aca="false">IF($D187="","","JOB-"&amp;TEXT(ROW()-3,"000"))</f>
        <v/>
      </c>
      <c r="B187" s="34"/>
      <c r="C187" s="35"/>
      <c r="D187" s="35"/>
      <c r="E187" s="35"/>
      <c r="F187" s="35"/>
      <c r="G187" s="33"/>
      <c r="H187" s="35"/>
      <c r="I187" s="35"/>
      <c r="J187" s="35"/>
      <c r="K187" s="33"/>
      <c r="L187" s="33"/>
      <c r="M187" s="34"/>
      <c r="N187" s="34"/>
      <c r="O187" s="34"/>
      <c r="P187" s="34" t="str">
        <f aca="false">IF(OR($D187="",$M187=""),"",IF(IFERROR(INDEX(Settings!$C$11:$C$19,MATCH($L187,Settings!$B$11:$B$19,0)),"Yes")="No","",MAX($M187,$O187)+Settings!$C$6))</f>
        <v/>
      </c>
      <c r="Q187" s="36" t="str">
        <f aca="true">IF($D187="","",IF(IFERROR(INDEX(Settings!$C$11:$C$19,MATCH($L187,Settings!$B$11:$B$19,0)),"Yes")="No","",IF($M187="",IF($N187="","",$N187-TODAY()),IF($P187="","",$P187-TODAY()))))</f>
        <v/>
      </c>
      <c r="R187" s="37" t="str">
        <f aca="true">IF($D187="","",IF(IFERROR(INDEX(Settings!$C$11:$C$19,MATCH($L187,Settings!$B$11:$B$19,0)),"Yes")="No","CLOSED",IF($M187="",IF($N187="","ON TRACK",IF($N187&lt;TODAY(),"OVERDUE",IF($N187-TODAY()&lt;=Settings!$C$5,"DUE SOON","ON TRACK"))),IF($P187&lt;=TODAY(),"FOLLOW-UP DUE","ON TRACK"))))</f>
        <v/>
      </c>
      <c r="S187" s="35"/>
      <c r="T187" s="35"/>
      <c r="U187" s="38"/>
      <c r="V187" s="34"/>
      <c r="W187" s="35" t="str">
        <f aca="false">IF(OR($R187="OVERDUE",$R187="DUE SOON",$R187="FOLLOW-UP DUE"),MAX(W$3:W186)+1,"")</f>
        <v/>
      </c>
    </row>
    <row r="188" customFormat="false" ht="15" hidden="false" customHeight="false" outlineLevel="0" collapsed="false">
      <c r="A188" s="33" t="str">
        <f aca="false">IF($D188="","","JOB-"&amp;TEXT(ROW()-3,"000"))</f>
        <v/>
      </c>
      <c r="B188" s="34"/>
      <c r="C188" s="35"/>
      <c r="D188" s="35"/>
      <c r="E188" s="35"/>
      <c r="F188" s="35"/>
      <c r="G188" s="33"/>
      <c r="H188" s="35"/>
      <c r="I188" s="35"/>
      <c r="J188" s="35"/>
      <c r="K188" s="33"/>
      <c r="L188" s="33"/>
      <c r="M188" s="34"/>
      <c r="N188" s="34"/>
      <c r="O188" s="34"/>
      <c r="P188" s="34" t="str">
        <f aca="false">IF(OR($D188="",$M188=""),"",IF(IFERROR(INDEX(Settings!$C$11:$C$19,MATCH($L188,Settings!$B$11:$B$19,0)),"Yes")="No","",MAX($M188,$O188)+Settings!$C$6))</f>
        <v/>
      </c>
      <c r="Q188" s="36" t="str">
        <f aca="true">IF($D188="","",IF(IFERROR(INDEX(Settings!$C$11:$C$19,MATCH($L188,Settings!$B$11:$B$19,0)),"Yes")="No","",IF($M188="",IF($N188="","",$N188-TODAY()),IF($P188="","",$P188-TODAY()))))</f>
        <v/>
      </c>
      <c r="R188" s="37" t="str">
        <f aca="true">IF($D188="","",IF(IFERROR(INDEX(Settings!$C$11:$C$19,MATCH($L188,Settings!$B$11:$B$19,0)),"Yes")="No","CLOSED",IF($M188="",IF($N188="","ON TRACK",IF($N188&lt;TODAY(),"OVERDUE",IF($N188-TODAY()&lt;=Settings!$C$5,"DUE SOON","ON TRACK"))),IF($P188&lt;=TODAY(),"FOLLOW-UP DUE","ON TRACK"))))</f>
        <v/>
      </c>
      <c r="S188" s="35"/>
      <c r="T188" s="35"/>
      <c r="U188" s="38"/>
      <c r="V188" s="34"/>
      <c r="W188" s="35" t="str">
        <f aca="false">IF(OR($R188="OVERDUE",$R188="DUE SOON",$R188="FOLLOW-UP DUE"),MAX(W$3:W187)+1,"")</f>
        <v/>
      </c>
    </row>
    <row r="189" customFormat="false" ht="15" hidden="false" customHeight="false" outlineLevel="0" collapsed="false">
      <c r="A189" s="33" t="str">
        <f aca="false">IF($D189="","","JOB-"&amp;TEXT(ROW()-3,"000"))</f>
        <v/>
      </c>
      <c r="B189" s="34"/>
      <c r="C189" s="35"/>
      <c r="D189" s="35"/>
      <c r="E189" s="35"/>
      <c r="F189" s="35"/>
      <c r="G189" s="33"/>
      <c r="H189" s="35"/>
      <c r="I189" s="35"/>
      <c r="J189" s="35"/>
      <c r="K189" s="33"/>
      <c r="L189" s="33"/>
      <c r="M189" s="34"/>
      <c r="N189" s="34"/>
      <c r="O189" s="34"/>
      <c r="P189" s="34" t="str">
        <f aca="false">IF(OR($D189="",$M189=""),"",IF(IFERROR(INDEX(Settings!$C$11:$C$19,MATCH($L189,Settings!$B$11:$B$19,0)),"Yes")="No","",MAX($M189,$O189)+Settings!$C$6))</f>
        <v/>
      </c>
      <c r="Q189" s="36" t="str">
        <f aca="true">IF($D189="","",IF(IFERROR(INDEX(Settings!$C$11:$C$19,MATCH($L189,Settings!$B$11:$B$19,0)),"Yes")="No","",IF($M189="",IF($N189="","",$N189-TODAY()),IF($P189="","",$P189-TODAY()))))</f>
        <v/>
      </c>
      <c r="R189" s="37" t="str">
        <f aca="true">IF($D189="","",IF(IFERROR(INDEX(Settings!$C$11:$C$19,MATCH($L189,Settings!$B$11:$B$19,0)),"Yes")="No","CLOSED",IF($M189="",IF($N189="","ON TRACK",IF($N189&lt;TODAY(),"OVERDUE",IF($N189-TODAY()&lt;=Settings!$C$5,"DUE SOON","ON TRACK"))),IF($P189&lt;=TODAY(),"FOLLOW-UP DUE","ON TRACK"))))</f>
        <v/>
      </c>
      <c r="S189" s="35"/>
      <c r="T189" s="35"/>
      <c r="U189" s="38"/>
      <c r="V189" s="34"/>
      <c r="W189" s="35" t="str">
        <f aca="false">IF(OR($R189="OVERDUE",$R189="DUE SOON",$R189="FOLLOW-UP DUE"),MAX(W$3:W188)+1,"")</f>
        <v/>
      </c>
    </row>
    <row r="190" customFormat="false" ht="15" hidden="false" customHeight="false" outlineLevel="0" collapsed="false">
      <c r="A190" s="33" t="str">
        <f aca="false">IF($D190="","","JOB-"&amp;TEXT(ROW()-3,"000"))</f>
        <v/>
      </c>
      <c r="B190" s="34"/>
      <c r="C190" s="35"/>
      <c r="D190" s="35"/>
      <c r="E190" s="35"/>
      <c r="F190" s="35"/>
      <c r="G190" s="33"/>
      <c r="H190" s="35"/>
      <c r="I190" s="35"/>
      <c r="J190" s="35"/>
      <c r="K190" s="33"/>
      <c r="L190" s="33"/>
      <c r="M190" s="34"/>
      <c r="N190" s="34"/>
      <c r="O190" s="34"/>
      <c r="P190" s="34" t="str">
        <f aca="false">IF(OR($D190="",$M190=""),"",IF(IFERROR(INDEX(Settings!$C$11:$C$19,MATCH($L190,Settings!$B$11:$B$19,0)),"Yes")="No","",MAX($M190,$O190)+Settings!$C$6))</f>
        <v/>
      </c>
      <c r="Q190" s="36" t="str">
        <f aca="true">IF($D190="","",IF(IFERROR(INDEX(Settings!$C$11:$C$19,MATCH($L190,Settings!$B$11:$B$19,0)),"Yes")="No","",IF($M190="",IF($N190="","",$N190-TODAY()),IF($P190="","",$P190-TODAY()))))</f>
        <v/>
      </c>
      <c r="R190" s="37" t="str">
        <f aca="true">IF($D190="","",IF(IFERROR(INDEX(Settings!$C$11:$C$19,MATCH($L190,Settings!$B$11:$B$19,0)),"Yes")="No","CLOSED",IF($M190="",IF($N190="","ON TRACK",IF($N190&lt;TODAY(),"OVERDUE",IF($N190-TODAY()&lt;=Settings!$C$5,"DUE SOON","ON TRACK"))),IF($P190&lt;=TODAY(),"FOLLOW-UP DUE","ON TRACK"))))</f>
        <v/>
      </c>
      <c r="S190" s="35"/>
      <c r="T190" s="35"/>
      <c r="U190" s="38"/>
      <c r="V190" s="34"/>
      <c r="W190" s="35" t="str">
        <f aca="false">IF(OR($R190="OVERDUE",$R190="DUE SOON",$R190="FOLLOW-UP DUE"),MAX(W$3:W189)+1,"")</f>
        <v/>
      </c>
    </row>
    <row r="191" customFormat="false" ht="15" hidden="false" customHeight="false" outlineLevel="0" collapsed="false">
      <c r="A191" s="33" t="str">
        <f aca="false">IF($D191="","","JOB-"&amp;TEXT(ROW()-3,"000"))</f>
        <v/>
      </c>
      <c r="B191" s="34"/>
      <c r="C191" s="35"/>
      <c r="D191" s="35"/>
      <c r="E191" s="35"/>
      <c r="F191" s="35"/>
      <c r="G191" s="33"/>
      <c r="H191" s="35"/>
      <c r="I191" s="35"/>
      <c r="J191" s="35"/>
      <c r="K191" s="33"/>
      <c r="L191" s="33"/>
      <c r="M191" s="34"/>
      <c r="N191" s="34"/>
      <c r="O191" s="34"/>
      <c r="P191" s="34" t="str">
        <f aca="false">IF(OR($D191="",$M191=""),"",IF(IFERROR(INDEX(Settings!$C$11:$C$19,MATCH($L191,Settings!$B$11:$B$19,0)),"Yes")="No","",MAX($M191,$O191)+Settings!$C$6))</f>
        <v/>
      </c>
      <c r="Q191" s="36" t="str">
        <f aca="true">IF($D191="","",IF(IFERROR(INDEX(Settings!$C$11:$C$19,MATCH($L191,Settings!$B$11:$B$19,0)),"Yes")="No","",IF($M191="",IF($N191="","",$N191-TODAY()),IF($P191="","",$P191-TODAY()))))</f>
        <v/>
      </c>
      <c r="R191" s="37" t="str">
        <f aca="true">IF($D191="","",IF(IFERROR(INDEX(Settings!$C$11:$C$19,MATCH($L191,Settings!$B$11:$B$19,0)),"Yes")="No","CLOSED",IF($M191="",IF($N191="","ON TRACK",IF($N191&lt;TODAY(),"OVERDUE",IF($N191-TODAY()&lt;=Settings!$C$5,"DUE SOON","ON TRACK"))),IF($P191&lt;=TODAY(),"FOLLOW-UP DUE","ON TRACK"))))</f>
        <v/>
      </c>
      <c r="S191" s="35"/>
      <c r="T191" s="35"/>
      <c r="U191" s="38"/>
      <c r="V191" s="34"/>
      <c r="W191" s="35" t="str">
        <f aca="false">IF(OR($R191="OVERDUE",$R191="DUE SOON",$R191="FOLLOW-UP DUE"),MAX(W$3:W190)+1,"")</f>
        <v/>
      </c>
    </row>
    <row r="192" customFormat="false" ht="15" hidden="false" customHeight="false" outlineLevel="0" collapsed="false">
      <c r="A192" s="33" t="str">
        <f aca="false">IF($D192="","","JOB-"&amp;TEXT(ROW()-3,"000"))</f>
        <v/>
      </c>
      <c r="B192" s="34"/>
      <c r="C192" s="35"/>
      <c r="D192" s="35"/>
      <c r="E192" s="35"/>
      <c r="F192" s="35"/>
      <c r="G192" s="33"/>
      <c r="H192" s="35"/>
      <c r="I192" s="35"/>
      <c r="J192" s="35"/>
      <c r="K192" s="33"/>
      <c r="L192" s="33"/>
      <c r="M192" s="34"/>
      <c r="N192" s="34"/>
      <c r="O192" s="34"/>
      <c r="P192" s="34" t="str">
        <f aca="false">IF(OR($D192="",$M192=""),"",IF(IFERROR(INDEX(Settings!$C$11:$C$19,MATCH($L192,Settings!$B$11:$B$19,0)),"Yes")="No","",MAX($M192,$O192)+Settings!$C$6))</f>
        <v/>
      </c>
      <c r="Q192" s="36" t="str">
        <f aca="true">IF($D192="","",IF(IFERROR(INDEX(Settings!$C$11:$C$19,MATCH($L192,Settings!$B$11:$B$19,0)),"Yes")="No","",IF($M192="",IF($N192="","",$N192-TODAY()),IF($P192="","",$P192-TODAY()))))</f>
        <v/>
      </c>
      <c r="R192" s="37" t="str">
        <f aca="true">IF($D192="","",IF(IFERROR(INDEX(Settings!$C$11:$C$19,MATCH($L192,Settings!$B$11:$B$19,0)),"Yes")="No","CLOSED",IF($M192="",IF($N192="","ON TRACK",IF($N192&lt;TODAY(),"OVERDUE",IF($N192-TODAY()&lt;=Settings!$C$5,"DUE SOON","ON TRACK"))),IF($P192&lt;=TODAY(),"FOLLOW-UP DUE","ON TRACK"))))</f>
        <v/>
      </c>
      <c r="S192" s="35"/>
      <c r="T192" s="35"/>
      <c r="U192" s="38"/>
      <c r="V192" s="34"/>
      <c r="W192" s="35" t="str">
        <f aca="false">IF(OR($R192="OVERDUE",$R192="DUE SOON",$R192="FOLLOW-UP DUE"),MAX(W$3:W191)+1,"")</f>
        <v/>
      </c>
    </row>
    <row r="193" customFormat="false" ht="15" hidden="false" customHeight="false" outlineLevel="0" collapsed="false">
      <c r="A193" s="33" t="str">
        <f aca="false">IF($D193="","","JOB-"&amp;TEXT(ROW()-3,"000"))</f>
        <v/>
      </c>
      <c r="B193" s="34"/>
      <c r="C193" s="35"/>
      <c r="D193" s="35"/>
      <c r="E193" s="35"/>
      <c r="F193" s="35"/>
      <c r="G193" s="33"/>
      <c r="H193" s="35"/>
      <c r="I193" s="35"/>
      <c r="J193" s="35"/>
      <c r="K193" s="33"/>
      <c r="L193" s="33"/>
      <c r="M193" s="34"/>
      <c r="N193" s="34"/>
      <c r="O193" s="34"/>
      <c r="P193" s="34" t="str">
        <f aca="false">IF(OR($D193="",$M193=""),"",IF(IFERROR(INDEX(Settings!$C$11:$C$19,MATCH($L193,Settings!$B$11:$B$19,0)),"Yes")="No","",MAX($M193,$O193)+Settings!$C$6))</f>
        <v/>
      </c>
      <c r="Q193" s="36" t="str">
        <f aca="true">IF($D193="","",IF(IFERROR(INDEX(Settings!$C$11:$C$19,MATCH($L193,Settings!$B$11:$B$19,0)),"Yes")="No","",IF($M193="",IF($N193="","",$N193-TODAY()),IF($P193="","",$P193-TODAY()))))</f>
        <v/>
      </c>
      <c r="R193" s="37" t="str">
        <f aca="true">IF($D193="","",IF(IFERROR(INDEX(Settings!$C$11:$C$19,MATCH($L193,Settings!$B$11:$B$19,0)),"Yes")="No","CLOSED",IF($M193="",IF($N193="","ON TRACK",IF($N193&lt;TODAY(),"OVERDUE",IF($N193-TODAY()&lt;=Settings!$C$5,"DUE SOON","ON TRACK"))),IF($P193&lt;=TODAY(),"FOLLOW-UP DUE","ON TRACK"))))</f>
        <v/>
      </c>
      <c r="S193" s="35"/>
      <c r="T193" s="35"/>
      <c r="U193" s="38"/>
      <c r="V193" s="34"/>
      <c r="W193" s="35" t="str">
        <f aca="false">IF(OR($R193="OVERDUE",$R193="DUE SOON",$R193="FOLLOW-UP DUE"),MAX(W$3:W192)+1,"")</f>
        <v/>
      </c>
    </row>
    <row r="194" customFormat="false" ht="15" hidden="false" customHeight="false" outlineLevel="0" collapsed="false">
      <c r="A194" s="33" t="str">
        <f aca="false">IF($D194="","","JOB-"&amp;TEXT(ROW()-3,"000"))</f>
        <v/>
      </c>
      <c r="B194" s="34"/>
      <c r="C194" s="35"/>
      <c r="D194" s="35"/>
      <c r="E194" s="35"/>
      <c r="F194" s="35"/>
      <c r="G194" s="33"/>
      <c r="H194" s="35"/>
      <c r="I194" s="35"/>
      <c r="J194" s="35"/>
      <c r="K194" s="33"/>
      <c r="L194" s="33"/>
      <c r="M194" s="34"/>
      <c r="N194" s="34"/>
      <c r="O194" s="34"/>
      <c r="P194" s="34" t="str">
        <f aca="false">IF(OR($D194="",$M194=""),"",IF(IFERROR(INDEX(Settings!$C$11:$C$19,MATCH($L194,Settings!$B$11:$B$19,0)),"Yes")="No","",MAX($M194,$O194)+Settings!$C$6))</f>
        <v/>
      </c>
      <c r="Q194" s="36" t="str">
        <f aca="true">IF($D194="","",IF(IFERROR(INDEX(Settings!$C$11:$C$19,MATCH($L194,Settings!$B$11:$B$19,0)),"Yes")="No","",IF($M194="",IF($N194="","",$N194-TODAY()),IF($P194="","",$P194-TODAY()))))</f>
        <v/>
      </c>
      <c r="R194" s="37" t="str">
        <f aca="true">IF($D194="","",IF(IFERROR(INDEX(Settings!$C$11:$C$19,MATCH($L194,Settings!$B$11:$B$19,0)),"Yes")="No","CLOSED",IF($M194="",IF($N194="","ON TRACK",IF($N194&lt;TODAY(),"OVERDUE",IF($N194-TODAY()&lt;=Settings!$C$5,"DUE SOON","ON TRACK"))),IF($P194&lt;=TODAY(),"FOLLOW-UP DUE","ON TRACK"))))</f>
        <v/>
      </c>
      <c r="S194" s="35"/>
      <c r="T194" s="35"/>
      <c r="U194" s="38"/>
      <c r="V194" s="34"/>
      <c r="W194" s="35" t="str">
        <f aca="false">IF(OR($R194="OVERDUE",$R194="DUE SOON",$R194="FOLLOW-UP DUE"),MAX(W$3:W193)+1,"")</f>
        <v/>
      </c>
    </row>
    <row r="195" customFormat="false" ht="15" hidden="false" customHeight="false" outlineLevel="0" collapsed="false">
      <c r="A195" s="33" t="str">
        <f aca="false">IF($D195="","","JOB-"&amp;TEXT(ROW()-3,"000"))</f>
        <v/>
      </c>
      <c r="B195" s="34"/>
      <c r="C195" s="35"/>
      <c r="D195" s="35"/>
      <c r="E195" s="35"/>
      <c r="F195" s="35"/>
      <c r="G195" s="33"/>
      <c r="H195" s="35"/>
      <c r="I195" s="35"/>
      <c r="J195" s="35"/>
      <c r="K195" s="33"/>
      <c r="L195" s="33"/>
      <c r="M195" s="34"/>
      <c r="N195" s="34"/>
      <c r="O195" s="34"/>
      <c r="P195" s="34" t="str">
        <f aca="false">IF(OR($D195="",$M195=""),"",IF(IFERROR(INDEX(Settings!$C$11:$C$19,MATCH($L195,Settings!$B$11:$B$19,0)),"Yes")="No","",MAX($M195,$O195)+Settings!$C$6))</f>
        <v/>
      </c>
      <c r="Q195" s="36" t="str">
        <f aca="true">IF($D195="","",IF(IFERROR(INDEX(Settings!$C$11:$C$19,MATCH($L195,Settings!$B$11:$B$19,0)),"Yes")="No","",IF($M195="",IF($N195="","",$N195-TODAY()),IF($P195="","",$P195-TODAY()))))</f>
        <v/>
      </c>
      <c r="R195" s="37" t="str">
        <f aca="true">IF($D195="","",IF(IFERROR(INDEX(Settings!$C$11:$C$19,MATCH($L195,Settings!$B$11:$B$19,0)),"Yes")="No","CLOSED",IF($M195="",IF($N195="","ON TRACK",IF($N195&lt;TODAY(),"OVERDUE",IF($N195-TODAY()&lt;=Settings!$C$5,"DUE SOON","ON TRACK"))),IF($P195&lt;=TODAY(),"FOLLOW-UP DUE","ON TRACK"))))</f>
        <v/>
      </c>
      <c r="S195" s="35"/>
      <c r="T195" s="35"/>
      <c r="U195" s="38"/>
      <c r="V195" s="34"/>
      <c r="W195" s="35" t="str">
        <f aca="false">IF(OR($R195="OVERDUE",$R195="DUE SOON",$R195="FOLLOW-UP DUE"),MAX(W$3:W194)+1,"")</f>
        <v/>
      </c>
    </row>
    <row r="196" customFormat="false" ht="15" hidden="false" customHeight="false" outlineLevel="0" collapsed="false">
      <c r="A196" s="33" t="str">
        <f aca="false">IF($D196="","","JOB-"&amp;TEXT(ROW()-3,"000"))</f>
        <v/>
      </c>
      <c r="B196" s="34"/>
      <c r="C196" s="35"/>
      <c r="D196" s="35"/>
      <c r="E196" s="35"/>
      <c r="F196" s="35"/>
      <c r="G196" s="33"/>
      <c r="H196" s="35"/>
      <c r="I196" s="35"/>
      <c r="J196" s="35"/>
      <c r="K196" s="33"/>
      <c r="L196" s="33"/>
      <c r="M196" s="34"/>
      <c r="N196" s="34"/>
      <c r="O196" s="34"/>
      <c r="P196" s="34" t="str">
        <f aca="false">IF(OR($D196="",$M196=""),"",IF(IFERROR(INDEX(Settings!$C$11:$C$19,MATCH($L196,Settings!$B$11:$B$19,0)),"Yes")="No","",MAX($M196,$O196)+Settings!$C$6))</f>
        <v/>
      </c>
      <c r="Q196" s="36" t="str">
        <f aca="true">IF($D196="","",IF(IFERROR(INDEX(Settings!$C$11:$C$19,MATCH($L196,Settings!$B$11:$B$19,0)),"Yes")="No","",IF($M196="",IF($N196="","",$N196-TODAY()),IF($P196="","",$P196-TODAY()))))</f>
        <v/>
      </c>
      <c r="R196" s="37" t="str">
        <f aca="true">IF($D196="","",IF(IFERROR(INDEX(Settings!$C$11:$C$19,MATCH($L196,Settings!$B$11:$B$19,0)),"Yes")="No","CLOSED",IF($M196="",IF($N196="","ON TRACK",IF($N196&lt;TODAY(),"OVERDUE",IF($N196-TODAY()&lt;=Settings!$C$5,"DUE SOON","ON TRACK"))),IF($P196&lt;=TODAY(),"FOLLOW-UP DUE","ON TRACK"))))</f>
        <v/>
      </c>
      <c r="S196" s="35"/>
      <c r="T196" s="35"/>
      <c r="U196" s="38"/>
      <c r="V196" s="34"/>
      <c r="W196" s="35" t="str">
        <f aca="false">IF(OR($R196="OVERDUE",$R196="DUE SOON",$R196="FOLLOW-UP DUE"),MAX(W$3:W195)+1,"")</f>
        <v/>
      </c>
    </row>
    <row r="197" customFormat="false" ht="15" hidden="false" customHeight="false" outlineLevel="0" collapsed="false">
      <c r="A197" s="33" t="str">
        <f aca="false">IF($D197="","","JOB-"&amp;TEXT(ROW()-3,"000"))</f>
        <v/>
      </c>
      <c r="B197" s="34"/>
      <c r="C197" s="35"/>
      <c r="D197" s="35"/>
      <c r="E197" s="35"/>
      <c r="F197" s="35"/>
      <c r="G197" s="33"/>
      <c r="H197" s="35"/>
      <c r="I197" s="35"/>
      <c r="J197" s="35"/>
      <c r="K197" s="33"/>
      <c r="L197" s="33"/>
      <c r="M197" s="34"/>
      <c r="N197" s="34"/>
      <c r="O197" s="34"/>
      <c r="P197" s="34" t="str">
        <f aca="false">IF(OR($D197="",$M197=""),"",IF(IFERROR(INDEX(Settings!$C$11:$C$19,MATCH($L197,Settings!$B$11:$B$19,0)),"Yes")="No","",MAX($M197,$O197)+Settings!$C$6))</f>
        <v/>
      </c>
      <c r="Q197" s="36" t="str">
        <f aca="true">IF($D197="","",IF(IFERROR(INDEX(Settings!$C$11:$C$19,MATCH($L197,Settings!$B$11:$B$19,0)),"Yes")="No","",IF($M197="",IF($N197="","",$N197-TODAY()),IF($P197="","",$P197-TODAY()))))</f>
        <v/>
      </c>
      <c r="R197" s="37" t="str">
        <f aca="true">IF($D197="","",IF(IFERROR(INDEX(Settings!$C$11:$C$19,MATCH($L197,Settings!$B$11:$B$19,0)),"Yes")="No","CLOSED",IF($M197="",IF($N197="","ON TRACK",IF($N197&lt;TODAY(),"OVERDUE",IF($N197-TODAY()&lt;=Settings!$C$5,"DUE SOON","ON TRACK"))),IF($P197&lt;=TODAY(),"FOLLOW-UP DUE","ON TRACK"))))</f>
        <v/>
      </c>
      <c r="S197" s="35"/>
      <c r="T197" s="35"/>
      <c r="U197" s="38"/>
      <c r="V197" s="34"/>
      <c r="W197" s="35" t="str">
        <f aca="false">IF(OR($R197="OVERDUE",$R197="DUE SOON",$R197="FOLLOW-UP DUE"),MAX(W$3:W196)+1,"")</f>
        <v/>
      </c>
    </row>
    <row r="198" customFormat="false" ht="15" hidden="false" customHeight="false" outlineLevel="0" collapsed="false">
      <c r="A198" s="33" t="str">
        <f aca="false">IF($D198="","","JOB-"&amp;TEXT(ROW()-3,"000"))</f>
        <v/>
      </c>
      <c r="B198" s="34"/>
      <c r="C198" s="35"/>
      <c r="D198" s="35"/>
      <c r="E198" s="35"/>
      <c r="F198" s="35"/>
      <c r="G198" s="33"/>
      <c r="H198" s="35"/>
      <c r="I198" s="35"/>
      <c r="J198" s="35"/>
      <c r="K198" s="33"/>
      <c r="L198" s="33"/>
      <c r="M198" s="34"/>
      <c r="N198" s="34"/>
      <c r="O198" s="34"/>
      <c r="P198" s="34" t="str">
        <f aca="false">IF(OR($D198="",$M198=""),"",IF(IFERROR(INDEX(Settings!$C$11:$C$19,MATCH($L198,Settings!$B$11:$B$19,0)),"Yes")="No","",MAX($M198,$O198)+Settings!$C$6))</f>
        <v/>
      </c>
      <c r="Q198" s="36" t="str">
        <f aca="true">IF($D198="","",IF(IFERROR(INDEX(Settings!$C$11:$C$19,MATCH($L198,Settings!$B$11:$B$19,0)),"Yes")="No","",IF($M198="",IF($N198="","",$N198-TODAY()),IF($P198="","",$P198-TODAY()))))</f>
        <v/>
      </c>
      <c r="R198" s="37" t="str">
        <f aca="true">IF($D198="","",IF(IFERROR(INDEX(Settings!$C$11:$C$19,MATCH($L198,Settings!$B$11:$B$19,0)),"Yes")="No","CLOSED",IF($M198="",IF($N198="","ON TRACK",IF($N198&lt;TODAY(),"OVERDUE",IF($N198-TODAY()&lt;=Settings!$C$5,"DUE SOON","ON TRACK"))),IF($P198&lt;=TODAY(),"FOLLOW-UP DUE","ON TRACK"))))</f>
        <v/>
      </c>
      <c r="S198" s="35"/>
      <c r="T198" s="35"/>
      <c r="U198" s="38"/>
      <c r="V198" s="34"/>
      <c r="W198" s="35" t="str">
        <f aca="false">IF(OR($R198="OVERDUE",$R198="DUE SOON",$R198="FOLLOW-UP DUE"),MAX(W$3:W197)+1,"")</f>
        <v/>
      </c>
    </row>
    <row r="199" customFormat="false" ht="15" hidden="false" customHeight="false" outlineLevel="0" collapsed="false">
      <c r="A199" s="33" t="str">
        <f aca="false">IF($D199="","","JOB-"&amp;TEXT(ROW()-3,"000"))</f>
        <v/>
      </c>
      <c r="B199" s="34"/>
      <c r="C199" s="35"/>
      <c r="D199" s="35"/>
      <c r="E199" s="35"/>
      <c r="F199" s="35"/>
      <c r="G199" s="33"/>
      <c r="H199" s="35"/>
      <c r="I199" s="35"/>
      <c r="J199" s="35"/>
      <c r="K199" s="33"/>
      <c r="L199" s="33"/>
      <c r="M199" s="34"/>
      <c r="N199" s="34"/>
      <c r="O199" s="34"/>
      <c r="P199" s="34" t="str">
        <f aca="false">IF(OR($D199="",$M199=""),"",IF(IFERROR(INDEX(Settings!$C$11:$C$19,MATCH($L199,Settings!$B$11:$B$19,0)),"Yes")="No","",MAX($M199,$O199)+Settings!$C$6))</f>
        <v/>
      </c>
      <c r="Q199" s="36" t="str">
        <f aca="true">IF($D199="","",IF(IFERROR(INDEX(Settings!$C$11:$C$19,MATCH($L199,Settings!$B$11:$B$19,0)),"Yes")="No","",IF($M199="",IF($N199="","",$N199-TODAY()),IF($P199="","",$P199-TODAY()))))</f>
        <v/>
      </c>
      <c r="R199" s="37" t="str">
        <f aca="true">IF($D199="","",IF(IFERROR(INDEX(Settings!$C$11:$C$19,MATCH($L199,Settings!$B$11:$B$19,0)),"Yes")="No","CLOSED",IF($M199="",IF($N199="","ON TRACK",IF($N199&lt;TODAY(),"OVERDUE",IF($N199-TODAY()&lt;=Settings!$C$5,"DUE SOON","ON TRACK"))),IF($P199&lt;=TODAY(),"FOLLOW-UP DUE","ON TRACK"))))</f>
        <v/>
      </c>
      <c r="S199" s="35"/>
      <c r="T199" s="35"/>
      <c r="U199" s="38"/>
      <c r="V199" s="34"/>
      <c r="W199" s="35" t="str">
        <f aca="false">IF(OR($R199="OVERDUE",$R199="DUE SOON",$R199="FOLLOW-UP DUE"),MAX(W$3:W198)+1,"")</f>
        <v/>
      </c>
    </row>
    <row r="200" customFormat="false" ht="15" hidden="false" customHeight="false" outlineLevel="0" collapsed="false">
      <c r="A200" s="33" t="str">
        <f aca="false">IF($D200="","","JOB-"&amp;TEXT(ROW()-3,"000"))</f>
        <v/>
      </c>
      <c r="B200" s="34"/>
      <c r="C200" s="35"/>
      <c r="D200" s="35"/>
      <c r="E200" s="35"/>
      <c r="F200" s="35"/>
      <c r="G200" s="33"/>
      <c r="H200" s="35"/>
      <c r="I200" s="35"/>
      <c r="J200" s="35"/>
      <c r="K200" s="33"/>
      <c r="L200" s="33"/>
      <c r="M200" s="34"/>
      <c r="N200" s="34"/>
      <c r="O200" s="34"/>
      <c r="P200" s="34" t="str">
        <f aca="false">IF(OR($D200="",$M200=""),"",IF(IFERROR(INDEX(Settings!$C$11:$C$19,MATCH($L200,Settings!$B$11:$B$19,0)),"Yes")="No","",MAX($M200,$O200)+Settings!$C$6))</f>
        <v/>
      </c>
      <c r="Q200" s="36" t="str">
        <f aca="true">IF($D200="","",IF(IFERROR(INDEX(Settings!$C$11:$C$19,MATCH($L200,Settings!$B$11:$B$19,0)),"Yes")="No","",IF($M200="",IF($N200="","",$N200-TODAY()),IF($P200="","",$P200-TODAY()))))</f>
        <v/>
      </c>
      <c r="R200" s="37" t="str">
        <f aca="true">IF($D200="","",IF(IFERROR(INDEX(Settings!$C$11:$C$19,MATCH($L200,Settings!$B$11:$B$19,0)),"Yes")="No","CLOSED",IF($M200="",IF($N200="","ON TRACK",IF($N200&lt;TODAY(),"OVERDUE",IF($N200-TODAY()&lt;=Settings!$C$5,"DUE SOON","ON TRACK"))),IF($P200&lt;=TODAY(),"FOLLOW-UP DUE","ON TRACK"))))</f>
        <v/>
      </c>
      <c r="S200" s="35"/>
      <c r="T200" s="35"/>
      <c r="U200" s="38"/>
      <c r="V200" s="34"/>
      <c r="W200" s="35" t="str">
        <f aca="false">IF(OR($R200="OVERDUE",$R200="DUE SOON",$R200="FOLLOW-UP DUE"),MAX(W$3:W199)+1,"")</f>
        <v/>
      </c>
    </row>
    <row r="201" customFormat="false" ht="15" hidden="false" customHeight="false" outlineLevel="0" collapsed="false">
      <c r="A201" s="33" t="str">
        <f aca="false">IF($D201="","","JOB-"&amp;TEXT(ROW()-3,"000"))</f>
        <v/>
      </c>
      <c r="B201" s="34"/>
      <c r="C201" s="35"/>
      <c r="D201" s="35"/>
      <c r="E201" s="35"/>
      <c r="F201" s="35"/>
      <c r="G201" s="33"/>
      <c r="H201" s="35"/>
      <c r="I201" s="35"/>
      <c r="J201" s="35"/>
      <c r="K201" s="33"/>
      <c r="L201" s="33"/>
      <c r="M201" s="34"/>
      <c r="N201" s="34"/>
      <c r="O201" s="34"/>
      <c r="P201" s="34" t="str">
        <f aca="false">IF(OR($D201="",$M201=""),"",IF(IFERROR(INDEX(Settings!$C$11:$C$19,MATCH($L201,Settings!$B$11:$B$19,0)),"Yes")="No","",MAX($M201,$O201)+Settings!$C$6))</f>
        <v/>
      </c>
      <c r="Q201" s="36" t="str">
        <f aca="true">IF($D201="","",IF(IFERROR(INDEX(Settings!$C$11:$C$19,MATCH($L201,Settings!$B$11:$B$19,0)),"Yes")="No","",IF($M201="",IF($N201="","",$N201-TODAY()),IF($P201="","",$P201-TODAY()))))</f>
        <v/>
      </c>
      <c r="R201" s="37" t="str">
        <f aca="true">IF($D201="","",IF(IFERROR(INDEX(Settings!$C$11:$C$19,MATCH($L201,Settings!$B$11:$B$19,0)),"Yes")="No","CLOSED",IF($M201="",IF($N201="","ON TRACK",IF($N201&lt;TODAY(),"OVERDUE",IF($N201-TODAY()&lt;=Settings!$C$5,"DUE SOON","ON TRACK"))),IF($P201&lt;=TODAY(),"FOLLOW-UP DUE","ON TRACK"))))</f>
        <v/>
      </c>
      <c r="S201" s="35"/>
      <c r="T201" s="35"/>
      <c r="U201" s="38"/>
      <c r="V201" s="34"/>
      <c r="W201" s="35" t="str">
        <f aca="false">IF(OR($R201="OVERDUE",$R201="DUE SOON",$R201="FOLLOW-UP DUE"),MAX(W$3:W200)+1,"")</f>
        <v/>
      </c>
    </row>
    <row r="202" customFormat="false" ht="15" hidden="false" customHeight="false" outlineLevel="0" collapsed="false">
      <c r="A202" s="33" t="str">
        <f aca="false">IF($D202="","","JOB-"&amp;TEXT(ROW()-3,"000"))</f>
        <v/>
      </c>
      <c r="B202" s="34"/>
      <c r="C202" s="35"/>
      <c r="D202" s="35"/>
      <c r="E202" s="35"/>
      <c r="F202" s="35"/>
      <c r="G202" s="33"/>
      <c r="H202" s="35"/>
      <c r="I202" s="35"/>
      <c r="J202" s="35"/>
      <c r="K202" s="33"/>
      <c r="L202" s="33"/>
      <c r="M202" s="34"/>
      <c r="N202" s="34"/>
      <c r="O202" s="34"/>
      <c r="P202" s="34" t="str">
        <f aca="false">IF(OR($D202="",$M202=""),"",IF(IFERROR(INDEX(Settings!$C$11:$C$19,MATCH($L202,Settings!$B$11:$B$19,0)),"Yes")="No","",MAX($M202,$O202)+Settings!$C$6))</f>
        <v/>
      </c>
      <c r="Q202" s="36" t="str">
        <f aca="true">IF($D202="","",IF(IFERROR(INDEX(Settings!$C$11:$C$19,MATCH($L202,Settings!$B$11:$B$19,0)),"Yes")="No","",IF($M202="",IF($N202="","",$N202-TODAY()),IF($P202="","",$P202-TODAY()))))</f>
        <v/>
      </c>
      <c r="R202" s="37" t="str">
        <f aca="true">IF($D202="","",IF(IFERROR(INDEX(Settings!$C$11:$C$19,MATCH($L202,Settings!$B$11:$B$19,0)),"Yes")="No","CLOSED",IF($M202="",IF($N202="","ON TRACK",IF($N202&lt;TODAY(),"OVERDUE",IF($N202-TODAY()&lt;=Settings!$C$5,"DUE SOON","ON TRACK"))),IF($P202&lt;=TODAY(),"FOLLOW-UP DUE","ON TRACK"))))</f>
        <v/>
      </c>
      <c r="S202" s="35"/>
      <c r="T202" s="35"/>
      <c r="U202" s="38"/>
      <c r="V202" s="34"/>
      <c r="W202" s="35" t="str">
        <f aca="false">IF(OR($R202="OVERDUE",$R202="DUE SOON",$R202="FOLLOW-UP DUE"),MAX(W$3:W201)+1,"")</f>
        <v/>
      </c>
    </row>
    <row r="203" customFormat="false" ht="15" hidden="false" customHeight="false" outlineLevel="0" collapsed="false">
      <c r="A203" s="33" t="str">
        <f aca="false">IF($D203="","","JOB-"&amp;TEXT(ROW()-3,"000"))</f>
        <v/>
      </c>
      <c r="B203" s="34"/>
      <c r="C203" s="35"/>
      <c r="D203" s="35"/>
      <c r="E203" s="35"/>
      <c r="F203" s="35"/>
      <c r="G203" s="33"/>
      <c r="H203" s="35"/>
      <c r="I203" s="35"/>
      <c r="J203" s="35"/>
      <c r="K203" s="33"/>
      <c r="L203" s="33"/>
      <c r="M203" s="34"/>
      <c r="N203" s="34"/>
      <c r="O203" s="34"/>
      <c r="P203" s="34" t="str">
        <f aca="false">IF(OR($D203="",$M203=""),"",IF(IFERROR(INDEX(Settings!$C$11:$C$19,MATCH($L203,Settings!$B$11:$B$19,0)),"Yes")="No","",MAX($M203,$O203)+Settings!$C$6))</f>
        <v/>
      </c>
      <c r="Q203" s="36" t="str">
        <f aca="true">IF($D203="","",IF(IFERROR(INDEX(Settings!$C$11:$C$19,MATCH($L203,Settings!$B$11:$B$19,0)),"Yes")="No","",IF($M203="",IF($N203="","",$N203-TODAY()),IF($P203="","",$P203-TODAY()))))</f>
        <v/>
      </c>
      <c r="R203" s="37" t="str">
        <f aca="true">IF($D203="","",IF(IFERROR(INDEX(Settings!$C$11:$C$19,MATCH($L203,Settings!$B$11:$B$19,0)),"Yes")="No","CLOSED",IF($M203="",IF($N203="","ON TRACK",IF($N203&lt;TODAY(),"OVERDUE",IF($N203-TODAY()&lt;=Settings!$C$5,"DUE SOON","ON TRACK"))),IF($P203&lt;=TODAY(),"FOLLOW-UP DUE","ON TRACK"))))</f>
        <v/>
      </c>
      <c r="S203" s="35"/>
      <c r="T203" s="35"/>
      <c r="U203" s="38"/>
      <c r="V203" s="34"/>
      <c r="W203" s="35" t="str">
        <f aca="false">IF(OR($R203="OVERDUE",$R203="DUE SOON",$R203="FOLLOW-UP DUE"),MAX(W$3:W202)+1,"")</f>
        <v/>
      </c>
    </row>
    <row r="204" customFormat="false" ht="15" hidden="false" customHeight="false" outlineLevel="0" collapsed="false">
      <c r="A204" s="33" t="str">
        <f aca="false">IF($D204="","","JOB-"&amp;TEXT(ROW()-3,"000"))</f>
        <v/>
      </c>
      <c r="B204" s="34"/>
      <c r="C204" s="35"/>
      <c r="D204" s="35"/>
      <c r="E204" s="35"/>
      <c r="F204" s="35"/>
      <c r="G204" s="33"/>
      <c r="H204" s="35"/>
      <c r="I204" s="35"/>
      <c r="J204" s="35"/>
      <c r="K204" s="33"/>
      <c r="L204" s="33"/>
      <c r="M204" s="34"/>
      <c r="N204" s="34"/>
      <c r="O204" s="34"/>
      <c r="P204" s="34" t="str">
        <f aca="false">IF(OR($D204="",$M204=""),"",IF(IFERROR(INDEX(Settings!$C$11:$C$19,MATCH($L204,Settings!$B$11:$B$19,0)),"Yes")="No","",MAX($M204,$O204)+Settings!$C$6))</f>
        <v/>
      </c>
      <c r="Q204" s="36" t="str">
        <f aca="true">IF($D204="","",IF(IFERROR(INDEX(Settings!$C$11:$C$19,MATCH($L204,Settings!$B$11:$B$19,0)),"Yes")="No","",IF($M204="",IF($N204="","",$N204-TODAY()),IF($P204="","",$P204-TODAY()))))</f>
        <v/>
      </c>
      <c r="R204" s="37" t="str">
        <f aca="true">IF($D204="","",IF(IFERROR(INDEX(Settings!$C$11:$C$19,MATCH($L204,Settings!$B$11:$B$19,0)),"Yes")="No","CLOSED",IF($M204="",IF($N204="","ON TRACK",IF($N204&lt;TODAY(),"OVERDUE",IF($N204-TODAY()&lt;=Settings!$C$5,"DUE SOON","ON TRACK"))),IF($P204&lt;=TODAY(),"FOLLOW-UP DUE","ON TRACK"))))</f>
        <v/>
      </c>
      <c r="S204" s="35"/>
      <c r="T204" s="35"/>
      <c r="U204" s="38"/>
      <c r="V204" s="34"/>
      <c r="W204" s="35" t="str">
        <f aca="false">IF(OR($R204="OVERDUE",$R204="DUE SOON",$R204="FOLLOW-UP DUE"),MAX(W$3:W203)+1,"")</f>
        <v/>
      </c>
    </row>
    <row r="205" customFormat="false" ht="15" hidden="false" customHeight="false" outlineLevel="0" collapsed="false">
      <c r="A205" s="33" t="str">
        <f aca="false">IF($D205="","","JOB-"&amp;TEXT(ROW()-3,"000"))</f>
        <v/>
      </c>
      <c r="B205" s="34"/>
      <c r="C205" s="35"/>
      <c r="D205" s="35"/>
      <c r="E205" s="35"/>
      <c r="F205" s="35"/>
      <c r="G205" s="33"/>
      <c r="H205" s="35"/>
      <c r="I205" s="35"/>
      <c r="J205" s="35"/>
      <c r="K205" s="33"/>
      <c r="L205" s="33"/>
      <c r="M205" s="34"/>
      <c r="N205" s="34"/>
      <c r="O205" s="34"/>
      <c r="P205" s="34" t="str">
        <f aca="false">IF(OR($D205="",$M205=""),"",IF(IFERROR(INDEX(Settings!$C$11:$C$19,MATCH($L205,Settings!$B$11:$B$19,0)),"Yes")="No","",MAX($M205,$O205)+Settings!$C$6))</f>
        <v/>
      </c>
      <c r="Q205" s="36" t="str">
        <f aca="true">IF($D205="","",IF(IFERROR(INDEX(Settings!$C$11:$C$19,MATCH($L205,Settings!$B$11:$B$19,0)),"Yes")="No","",IF($M205="",IF($N205="","",$N205-TODAY()),IF($P205="","",$P205-TODAY()))))</f>
        <v/>
      </c>
      <c r="R205" s="37" t="str">
        <f aca="true">IF($D205="","",IF(IFERROR(INDEX(Settings!$C$11:$C$19,MATCH($L205,Settings!$B$11:$B$19,0)),"Yes")="No","CLOSED",IF($M205="",IF($N205="","ON TRACK",IF($N205&lt;TODAY(),"OVERDUE",IF($N205-TODAY()&lt;=Settings!$C$5,"DUE SOON","ON TRACK"))),IF($P205&lt;=TODAY(),"FOLLOW-UP DUE","ON TRACK"))))</f>
        <v/>
      </c>
      <c r="S205" s="35"/>
      <c r="T205" s="35"/>
      <c r="U205" s="38"/>
      <c r="V205" s="34"/>
      <c r="W205" s="35" t="str">
        <f aca="false">IF(OR($R205="OVERDUE",$R205="DUE SOON",$R205="FOLLOW-UP DUE"),MAX(W$3:W204)+1,"")</f>
        <v/>
      </c>
    </row>
    <row r="206" customFormat="false" ht="15" hidden="false" customHeight="false" outlineLevel="0" collapsed="false">
      <c r="A206" s="33" t="str">
        <f aca="false">IF($D206="","","JOB-"&amp;TEXT(ROW()-3,"000"))</f>
        <v/>
      </c>
      <c r="B206" s="34"/>
      <c r="C206" s="35"/>
      <c r="D206" s="35"/>
      <c r="E206" s="35"/>
      <c r="F206" s="35"/>
      <c r="G206" s="33"/>
      <c r="H206" s="35"/>
      <c r="I206" s="35"/>
      <c r="J206" s="35"/>
      <c r="K206" s="33"/>
      <c r="L206" s="33"/>
      <c r="M206" s="34"/>
      <c r="N206" s="34"/>
      <c r="O206" s="34"/>
      <c r="P206" s="34" t="str">
        <f aca="false">IF(OR($D206="",$M206=""),"",IF(IFERROR(INDEX(Settings!$C$11:$C$19,MATCH($L206,Settings!$B$11:$B$19,0)),"Yes")="No","",MAX($M206,$O206)+Settings!$C$6))</f>
        <v/>
      </c>
      <c r="Q206" s="36" t="str">
        <f aca="true">IF($D206="","",IF(IFERROR(INDEX(Settings!$C$11:$C$19,MATCH($L206,Settings!$B$11:$B$19,0)),"Yes")="No","",IF($M206="",IF($N206="","",$N206-TODAY()),IF($P206="","",$P206-TODAY()))))</f>
        <v/>
      </c>
      <c r="R206" s="37" t="str">
        <f aca="true">IF($D206="","",IF(IFERROR(INDEX(Settings!$C$11:$C$19,MATCH($L206,Settings!$B$11:$B$19,0)),"Yes")="No","CLOSED",IF($M206="",IF($N206="","ON TRACK",IF($N206&lt;TODAY(),"OVERDUE",IF($N206-TODAY()&lt;=Settings!$C$5,"DUE SOON","ON TRACK"))),IF($P206&lt;=TODAY(),"FOLLOW-UP DUE","ON TRACK"))))</f>
        <v/>
      </c>
      <c r="S206" s="35"/>
      <c r="T206" s="35"/>
      <c r="U206" s="38"/>
      <c r="V206" s="34"/>
      <c r="W206" s="35" t="str">
        <f aca="false">IF(OR($R206="OVERDUE",$R206="DUE SOON",$R206="FOLLOW-UP DUE"),MAX(W$3:W205)+1,"")</f>
        <v/>
      </c>
    </row>
    <row r="207" customFormat="false" ht="15" hidden="false" customHeight="false" outlineLevel="0" collapsed="false">
      <c r="A207" s="33" t="str">
        <f aca="false">IF($D207="","","JOB-"&amp;TEXT(ROW()-3,"000"))</f>
        <v/>
      </c>
      <c r="B207" s="34"/>
      <c r="C207" s="35"/>
      <c r="D207" s="35"/>
      <c r="E207" s="35"/>
      <c r="F207" s="35"/>
      <c r="G207" s="33"/>
      <c r="H207" s="35"/>
      <c r="I207" s="35"/>
      <c r="J207" s="35"/>
      <c r="K207" s="33"/>
      <c r="L207" s="33"/>
      <c r="M207" s="34"/>
      <c r="N207" s="34"/>
      <c r="O207" s="34"/>
      <c r="P207" s="34" t="str">
        <f aca="false">IF(OR($D207="",$M207=""),"",IF(IFERROR(INDEX(Settings!$C$11:$C$19,MATCH($L207,Settings!$B$11:$B$19,0)),"Yes")="No","",MAX($M207,$O207)+Settings!$C$6))</f>
        <v/>
      </c>
      <c r="Q207" s="36" t="str">
        <f aca="true">IF($D207="","",IF(IFERROR(INDEX(Settings!$C$11:$C$19,MATCH($L207,Settings!$B$11:$B$19,0)),"Yes")="No","",IF($M207="",IF($N207="","",$N207-TODAY()),IF($P207="","",$P207-TODAY()))))</f>
        <v/>
      </c>
      <c r="R207" s="37" t="str">
        <f aca="true">IF($D207="","",IF(IFERROR(INDEX(Settings!$C$11:$C$19,MATCH($L207,Settings!$B$11:$B$19,0)),"Yes")="No","CLOSED",IF($M207="",IF($N207="","ON TRACK",IF($N207&lt;TODAY(),"OVERDUE",IF($N207-TODAY()&lt;=Settings!$C$5,"DUE SOON","ON TRACK"))),IF($P207&lt;=TODAY(),"FOLLOW-UP DUE","ON TRACK"))))</f>
        <v/>
      </c>
      <c r="S207" s="35"/>
      <c r="T207" s="35"/>
      <c r="U207" s="38"/>
      <c r="V207" s="34"/>
      <c r="W207" s="35" t="str">
        <f aca="false">IF(OR($R207="OVERDUE",$R207="DUE SOON",$R207="FOLLOW-UP DUE"),MAX(W$3:W206)+1,"")</f>
        <v/>
      </c>
    </row>
    <row r="208" customFormat="false" ht="15" hidden="false" customHeight="false" outlineLevel="0" collapsed="false">
      <c r="A208" s="33" t="str">
        <f aca="false">IF($D208="","","JOB-"&amp;TEXT(ROW()-3,"000"))</f>
        <v/>
      </c>
      <c r="B208" s="34"/>
      <c r="C208" s="35"/>
      <c r="D208" s="35"/>
      <c r="E208" s="35"/>
      <c r="F208" s="35"/>
      <c r="G208" s="33"/>
      <c r="H208" s="35"/>
      <c r="I208" s="35"/>
      <c r="J208" s="35"/>
      <c r="K208" s="33"/>
      <c r="L208" s="33"/>
      <c r="M208" s="34"/>
      <c r="N208" s="34"/>
      <c r="O208" s="34"/>
      <c r="P208" s="34" t="str">
        <f aca="false">IF(OR($D208="",$M208=""),"",IF(IFERROR(INDEX(Settings!$C$11:$C$19,MATCH($L208,Settings!$B$11:$B$19,0)),"Yes")="No","",MAX($M208,$O208)+Settings!$C$6))</f>
        <v/>
      </c>
      <c r="Q208" s="36" t="str">
        <f aca="true">IF($D208="","",IF(IFERROR(INDEX(Settings!$C$11:$C$19,MATCH($L208,Settings!$B$11:$B$19,0)),"Yes")="No","",IF($M208="",IF($N208="","",$N208-TODAY()),IF($P208="","",$P208-TODAY()))))</f>
        <v/>
      </c>
      <c r="R208" s="37" t="str">
        <f aca="true">IF($D208="","",IF(IFERROR(INDEX(Settings!$C$11:$C$19,MATCH($L208,Settings!$B$11:$B$19,0)),"Yes")="No","CLOSED",IF($M208="",IF($N208="","ON TRACK",IF($N208&lt;TODAY(),"OVERDUE",IF($N208-TODAY()&lt;=Settings!$C$5,"DUE SOON","ON TRACK"))),IF($P208&lt;=TODAY(),"FOLLOW-UP DUE","ON TRACK"))))</f>
        <v/>
      </c>
      <c r="S208" s="35"/>
      <c r="T208" s="35"/>
      <c r="U208" s="38"/>
      <c r="V208" s="34"/>
      <c r="W208" s="35" t="str">
        <f aca="false">IF(OR($R208="OVERDUE",$R208="DUE SOON",$R208="FOLLOW-UP DUE"),MAX(W$3:W207)+1,"")</f>
        <v/>
      </c>
    </row>
    <row r="209" customFormat="false" ht="15" hidden="false" customHeight="false" outlineLevel="0" collapsed="false">
      <c r="A209" s="33" t="str">
        <f aca="false">IF($D209="","","JOB-"&amp;TEXT(ROW()-3,"000"))</f>
        <v/>
      </c>
      <c r="B209" s="34"/>
      <c r="C209" s="35"/>
      <c r="D209" s="35"/>
      <c r="E209" s="35"/>
      <c r="F209" s="35"/>
      <c r="G209" s="33"/>
      <c r="H209" s="35"/>
      <c r="I209" s="35"/>
      <c r="J209" s="35"/>
      <c r="K209" s="33"/>
      <c r="L209" s="33"/>
      <c r="M209" s="34"/>
      <c r="N209" s="34"/>
      <c r="O209" s="34"/>
      <c r="P209" s="34" t="str">
        <f aca="false">IF(OR($D209="",$M209=""),"",IF(IFERROR(INDEX(Settings!$C$11:$C$19,MATCH($L209,Settings!$B$11:$B$19,0)),"Yes")="No","",MAX($M209,$O209)+Settings!$C$6))</f>
        <v/>
      </c>
      <c r="Q209" s="36" t="str">
        <f aca="true">IF($D209="","",IF(IFERROR(INDEX(Settings!$C$11:$C$19,MATCH($L209,Settings!$B$11:$B$19,0)),"Yes")="No","",IF($M209="",IF($N209="","",$N209-TODAY()),IF($P209="","",$P209-TODAY()))))</f>
        <v/>
      </c>
      <c r="R209" s="37" t="str">
        <f aca="true">IF($D209="","",IF(IFERROR(INDEX(Settings!$C$11:$C$19,MATCH($L209,Settings!$B$11:$B$19,0)),"Yes")="No","CLOSED",IF($M209="",IF($N209="","ON TRACK",IF($N209&lt;TODAY(),"OVERDUE",IF($N209-TODAY()&lt;=Settings!$C$5,"DUE SOON","ON TRACK"))),IF($P209&lt;=TODAY(),"FOLLOW-UP DUE","ON TRACK"))))</f>
        <v/>
      </c>
      <c r="S209" s="35"/>
      <c r="T209" s="35"/>
      <c r="U209" s="38"/>
      <c r="V209" s="34"/>
      <c r="W209" s="35" t="str">
        <f aca="false">IF(OR($R209="OVERDUE",$R209="DUE SOON",$R209="FOLLOW-UP DUE"),MAX(W$3:W208)+1,"")</f>
        <v/>
      </c>
    </row>
    <row r="210" customFormat="false" ht="15" hidden="false" customHeight="false" outlineLevel="0" collapsed="false">
      <c r="A210" s="33" t="str">
        <f aca="false">IF($D210="","","JOB-"&amp;TEXT(ROW()-3,"000"))</f>
        <v/>
      </c>
      <c r="B210" s="34"/>
      <c r="C210" s="35"/>
      <c r="D210" s="35"/>
      <c r="E210" s="35"/>
      <c r="F210" s="35"/>
      <c r="G210" s="33"/>
      <c r="H210" s="35"/>
      <c r="I210" s="35"/>
      <c r="J210" s="35"/>
      <c r="K210" s="33"/>
      <c r="L210" s="33"/>
      <c r="M210" s="34"/>
      <c r="N210" s="34"/>
      <c r="O210" s="34"/>
      <c r="P210" s="34" t="str">
        <f aca="false">IF(OR($D210="",$M210=""),"",IF(IFERROR(INDEX(Settings!$C$11:$C$19,MATCH($L210,Settings!$B$11:$B$19,0)),"Yes")="No","",MAX($M210,$O210)+Settings!$C$6))</f>
        <v/>
      </c>
      <c r="Q210" s="36" t="str">
        <f aca="true">IF($D210="","",IF(IFERROR(INDEX(Settings!$C$11:$C$19,MATCH($L210,Settings!$B$11:$B$19,0)),"Yes")="No","",IF($M210="",IF($N210="","",$N210-TODAY()),IF($P210="","",$P210-TODAY()))))</f>
        <v/>
      </c>
      <c r="R210" s="37" t="str">
        <f aca="true">IF($D210="","",IF(IFERROR(INDEX(Settings!$C$11:$C$19,MATCH($L210,Settings!$B$11:$B$19,0)),"Yes")="No","CLOSED",IF($M210="",IF($N210="","ON TRACK",IF($N210&lt;TODAY(),"OVERDUE",IF($N210-TODAY()&lt;=Settings!$C$5,"DUE SOON","ON TRACK"))),IF($P210&lt;=TODAY(),"FOLLOW-UP DUE","ON TRACK"))))</f>
        <v/>
      </c>
      <c r="S210" s="35"/>
      <c r="T210" s="35"/>
      <c r="U210" s="38"/>
      <c r="V210" s="34"/>
      <c r="W210" s="35" t="str">
        <f aca="false">IF(OR($R210="OVERDUE",$R210="DUE SOON",$R210="FOLLOW-UP DUE"),MAX(W$3:W209)+1,"")</f>
        <v/>
      </c>
    </row>
    <row r="211" customFormat="false" ht="15" hidden="false" customHeight="false" outlineLevel="0" collapsed="false">
      <c r="A211" s="33" t="str">
        <f aca="false">IF($D211="","","JOB-"&amp;TEXT(ROW()-3,"000"))</f>
        <v/>
      </c>
      <c r="B211" s="34"/>
      <c r="C211" s="35"/>
      <c r="D211" s="35"/>
      <c r="E211" s="35"/>
      <c r="F211" s="35"/>
      <c r="G211" s="33"/>
      <c r="H211" s="35"/>
      <c r="I211" s="35"/>
      <c r="J211" s="35"/>
      <c r="K211" s="33"/>
      <c r="L211" s="33"/>
      <c r="M211" s="34"/>
      <c r="N211" s="34"/>
      <c r="O211" s="34"/>
      <c r="P211" s="34" t="str">
        <f aca="false">IF(OR($D211="",$M211=""),"",IF(IFERROR(INDEX(Settings!$C$11:$C$19,MATCH($L211,Settings!$B$11:$B$19,0)),"Yes")="No","",MAX($M211,$O211)+Settings!$C$6))</f>
        <v/>
      </c>
      <c r="Q211" s="36" t="str">
        <f aca="true">IF($D211="","",IF(IFERROR(INDEX(Settings!$C$11:$C$19,MATCH($L211,Settings!$B$11:$B$19,0)),"Yes")="No","",IF($M211="",IF($N211="","",$N211-TODAY()),IF($P211="","",$P211-TODAY()))))</f>
        <v/>
      </c>
      <c r="R211" s="37" t="str">
        <f aca="true">IF($D211="","",IF(IFERROR(INDEX(Settings!$C$11:$C$19,MATCH($L211,Settings!$B$11:$B$19,0)),"Yes")="No","CLOSED",IF($M211="",IF($N211="","ON TRACK",IF($N211&lt;TODAY(),"OVERDUE",IF($N211-TODAY()&lt;=Settings!$C$5,"DUE SOON","ON TRACK"))),IF($P211&lt;=TODAY(),"FOLLOW-UP DUE","ON TRACK"))))</f>
        <v/>
      </c>
      <c r="S211" s="35"/>
      <c r="T211" s="35"/>
      <c r="U211" s="38"/>
      <c r="V211" s="34"/>
      <c r="W211" s="35" t="str">
        <f aca="false">IF(OR($R211="OVERDUE",$R211="DUE SOON",$R211="FOLLOW-UP DUE"),MAX(W$3:W210)+1,"")</f>
        <v/>
      </c>
    </row>
    <row r="212" customFormat="false" ht="15" hidden="false" customHeight="false" outlineLevel="0" collapsed="false">
      <c r="A212" s="33" t="str">
        <f aca="false">IF($D212="","","JOB-"&amp;TEXT(ROW()-3,"000"))</f>
        <v/>
      </c>
      <c r="B212" s="34"/>
      <c r="C212" s="35"/>
      <c r="D212" s="35"/>
      <c r="E212" s="35"/>
      <c r="F212" s="35"/>
      <c r="G212" s="33"/>
      <c r="H212" s="35"/>
      <c r="I212" s="35"/>
      <c r="J212" s="35"/>
      <c r="K212" s="33"/>
      <c r="L212" s="33"/>
      <c r="M212" s="34"/>
      <c r="N212" s="34"/>
      <c r="O212" s="34"/>
      <c r="P212" s="34" t="str">
        <f aca="false">IF(OR($D212="",$M212=""),"",IF(IFERROR(INDEX(Settings!$C$11:$C$19,MATCH($L212,Settings!$B$11:$B$19,0)),"Yes")="No","",MAX($M212,$O212)+Settings!$C$6))</f>
        <v/>
      </c>
      <c r="Q212" s="36" t="str">
        <f aca="true">IF($D212="","",IF(IFERROR(INDEX(Settings!$C$11:$C$19,MATCH($L212,Settings!$B$11:$B$19,0)),"Yes")="No","",IF($M212="",IF($N212="","",$N212-TODAY()),IF($P212="","",$P212-TODAY()))))</f>
        <v/>
      </c>
      <c r="R212" s="37" t="str">
        <f aca="true">IF($D212="","",IF(IFERROR(INDEX(Settings!$C$11:$C$19,MATCH($L212,Settings!$B$11:$B$19,0)),"Yes")="No","CLOSED",IF($M212="",IF($N212="","ON TRACK",IF($N212&lt;TODAY(),"OVERDUE",IF($N212-TODAY()&lt;=Settings!$C$5,"DUE SOON","ON TRACK"))),IF($P212&lt;=TODAY(),"FOLLOW-UP DUE","ON TRACK"))))</f>
        <v/>
      </c>
      <c r="S212" s="35"/>
      <c r="T212" s="35"/>
      <c r="U212" s="38"/>
      <c r="V212" s="34"/>
      <c r="W212" s="35" t="str">
        <f aca="false">IF(OR($R212="OVERDUE",$R212="DUE SOON",$R212="FOLLOW-UP DUE"),MAX(W$3:W211)+1,"")</f>
        <v/>
      </c>
    </row>
    <row r="213" customFormat="false" ht="15" hidden="false" customHeight="false" outlineLevel="0" collapsed="false">
      <c r="A213" s="33" t="str">
        <f aca="false">IF($D213="","","JOB-"&amp;TEXT(ROW()-3,"000"))</f>
        <v/>
      </c>
      <c r="B213" s="34"/>
      <c r="C213" s="35"/>
      <c r="D213" s="35"/>
      <c r="E213" s="35"/>
      <c r="F213" s="35"/>
      <c r="G213" s="33"/>
      <c r="H213" s="35"/>
      <c r="I213" s="35"/>
      <c r="J213" s="35"/>
      <c r="K213" s="33"/>
      <c r="L213" s="33"/>
      <c r="M213" s="34"/>
      <c r="N213" s="34"/>
      <c r="O213" s="34"/>
      <c r="P213" s="34" t="str">
        <f aca="false">IF(OR($D213="",$M213=""),"",IF(IFERROR(INDEX(Settings!$C$11:$C$19,MATCH($L213,Settings!$B$11:$B$19,0)),"Yes")="No","",MAX($M213,$O213)+Settings!$C$6))</f>
        <v/>
      </c>
      <c r="Q213" s="36" t="str">
        <f aca="true">IF($D213="","",IF(IFERROR(INDEX(Settings!$C$11:$C$19,MATCH($L213,Settings!$B$11:$B$19,0)),"Yes")="No","",IF($M213="",IF($N213="","",$N213-TODAY()),IF($P213="","",$P213-TODAY()))))</f>
        <v/>
      </c>
      <c r="R213" s="37" t="str">
        <f aca="true">IF($D213="","",IF(IFERROR(INDEX(Settings!$C$11:$C$19,MATCH($L213,Settings!$B$11:$B$19,0)),"Yes")="No","CLOSED",IF($M213="",IF($N213="","ON TRACK",IF($N213&lt;TODAY(),"OVERDUE",IF($N213-TODAY()&lt;=Settings!$C$5,"DUE SOON","ON TRACK"))),IF($P213&lt;=TODAY(),"FOLLOW-UP DUE","ON TRACK"))))</f>
        <v/>
      </c>
      <c r="S213" s="35"/>
      <c r="T213" s="35"/>
      <c r="U213" s="38"/>
      <c r="V213" s="34"/>
      <c r="W213" s="35" t="str">
        <f aca="false">IF(OR($R213="OVERDUE",$R213="DUE SOON",$R213="FOLLOW-UP DUE"),MAX(W$3:W212)+1,"")</f>
        <v/>
      </c>
    </row>
    <row r="214" customFormat="false" ht="15" hidden="false" customHeight="false" outlineLevel="0" collapsed="false">
      <c r="A214" s="33" t="str">
        <f aca="false">IF($D214="","","JOB-"&amp;TEXT(ROW()-3,"000"))</f>
        <v/>
      </c>
      <c r="B214" s="34"/>
      <c r="C214" s="35"/>
      <c r="D214" s="35"/>
      <c r="E214" s="35"/>
      <c r="F214" s="35"/>
      <c r="G214" s="33"/>
      <c r="H214" s="35"/>
      <c r="I214" s="35"/>
      <c r="J214" s="35"/>
      <c r="K214" s="33"/>
      <c r="L214" s="33"/>
      <c r="M214" s="34"/>
      <c r="N214" s="34"/>
      <c r="O214" s="34"/>
      <c r="P214" s="34" t="str">
        <f aca="false">IF(OR($D214="",$M214=""),"",IF(IFERROR(INDEX(Settings!$C$11:$C$19,MATCH($L214,Settings!$B$11:$B$19,0)),"Yes")="No","",MAX($M214,$O214)+Settings!$C$6))</f>
        <v/>
      </c>
      <c r="Q214" s="36" t="str">
        <f aca="true">IF($D214="","",IF(IFERROR(INDEX(Settings!$C$11:$C$19,MATCH($L214,Settings!$B$11:$B$19,0)),"Yes")="No","",IF($M214="",IF($N214="","",$N214-TODAY()),IF($P214="","",$P214-TODAY()))))</f>
        <v/>
      </c>
      <c r="R214" s="37" t="str">
        <f aca="true">IF($D214="","",IF(IFERROR(INDEX(Settings!$C$11:$C$19,MATCH($L214,Settings!$B$11:$B$19,0)),"Yes")="No","CLOSED",IF($M214="",IF($N214="","ON TRACK",IF($N214&lt;TODAY(),"OVERDUE",IF($N214-TODAY()&lt;=Settings!$C$5,"DUE SOON","ON TRACK"))),IF($P214&lt;=TODAY(),"FOLLOW-UP DUE","ON TRACK"))))</f>
        <v/>
      </c>
      <c r="S214" s="35"/>
      <c r="T214" s="35"/>
      <c r="U214" s="38"/>
      <c r="V214" s="34"/>
      <c r="W214" s="35" t="str">
        <f aca="false">IF(OR($R214="OVERDUE",$R214="DUE SOON",$R214="FOLLOW-UP DUE"),MAX(W$3:W213)+1,"")</f>
        <v/>
      </c>
    </row>
    <row r="215" customFormat="false" ht="15" hidden="false" customHeight="false" outlineLevel="0" collapsed="false">
      <c r="A215" s="33" t="str">
        <f aca="false">IF($D215="","","JOB-"&amp;TEXT(ROW()-3,"000"))</f>
        <v/>
      </c>
      <c r="B215" s="34"/>
      <c r="C215" s="35"/>
      <c r="D215" s="35"/>
      <c r="E215" s="35"/>
      <c r="F215" s="35"/>
      <c r="G215" s="33"/>
      <c r="H215" s="35"/>
      <c r="I215" s="35"/>
      <c r="J215" s="35"/>
      <c r="K215" s="33"/>
      <c r="L215" s="33"/>
      <c r="M215" s="34"/>
      <c r="N215" s="34"/>
      <c r="O215" s="34"/>
      <c r="P215" s="34" t="str">
        <f aca="false">IF(OR($D215="",$M215=""),"",IF(IFERROR(INDEX(Settings!$C$11:$C$19,MATCH($L215,Settings!$B$11:$B$19,0)),"Yes")="No","",MAX($M215,$O215)+Settings!$C$6))</f>
        <v/>
      </c>
      <c r="Q215" s="36" t="str">
        <f aca="true">IF($D215="","",IF(IFERROR(INDEX(Settings!$C$11:$C$19,MATCH($L215,Settings!$B$11:$B$19,0)),"Yes")="No","",IF($M215="",IF($N215="","",$N215-TODAY()),IF($P215="","",$P215-TODAY()))))</f>
        <v/>
      </c>
      <c r="R215" s="37" t="str">
        <f aca="true">IF($D215="","",IF(IFERROR(INDEX(Settings!$C$11:$C$19,MATCH($L215,Settings!$B$11:$B$19,0)),"Yes")="No","CLOSED",IF($M215="",IF($N215="","ON TRACK",IF($N215&lt;TODAY(),"OVERDUE",IF($N215-TODAY()&lt;=Settings!$C$5,"DUE SOON","ON TRACK"))),IF($P215&lt;=TODAY(),"FOLLOW-UP DUE","ON TRACK"))))</f>
        <v/>
      </c>
      <c r="S215" s="35"/>
      <c r="T215" s="35"/>
      <c r="U215" s="38"/>
      <c r="V215" s="34"/>
      <c r="W215" s="35" t="str">
        <f aca="false">IF(OR($R215="OVERDUE",$R215="DUE SOON",$R215="FOLLOW-UP DUE"),MAX(W$3:W214)+1,"")</f>
        <v/>
      </c>
    </row>
    <row r="216" customFormat="false" ht="15" hidden="false" customHeight="false" outlineLevel="0" collapsed="false">
      <c r="A216" s="33" t="str">
        <f aca="false">IF($D216="","","JOB-"&amp;TEXT(ROW()-3,"000"))</f>
        <v/>
      </c>
      <c r="B216" s="34"/>
      <c r="C216" s="35"/>
      <c r="D216" s="35"/>
      <c r="E216" s="35"/>
      <c r="F216" s="35"/>
      <c r="G216" s="33"/>
      <c r="H216" s="35"/>
      <c r="I216" s="35"/>
      <c r="J216" s="35"/>
      <c r="K216" s="33"/>
      <c r="L216" s="33"/>
      <c r="M216" s="34"/>
      <c r="N216" s="34"/>
      <c r="O216" s="34"/>
      <c r="P216" s="34" t="str">
        <f aca="false">IF(OR($D216="",$M216=""),"",IF(IFERROR(INDEX(Settings!$C$11:$C$19,MATCH($L216,Settings!$B$11:$B$19,0)),"Yes")="No","",MAX($M216,$O216)+Settings!$C$6))</f>
        <v/>
      </c>
      <c r="Q216" s="36" t="str">
        <f aca="true">IF($D216="","",IF(IFERROR(INDEX(Settings!$C$11:$C$19,MATCH($L216,Settings!$B$11:$B$19,0)),"Yes")="No","",IF($M216="",IF($N216="","",$N216-TODAY()),IF($P216="","",$P216-TODAY()))))</f>
        <v/>
      </c>
      <c r="R216" s="37" t="str">
        <f aca="true">IF($D216="","",IF(IFERROR(INDEX(Settings!$C$11:$C$19,MATCH($L216,Settings!$B$11:$B$19,0)),"Yes")="No","CLOSED",IF($M216="",IF($N216="","ON TRACK",IF($N216&lt;TODAY(),"OVERDUE",IF($N216-TODAY()&lt;=Settings!$C$5,"DUE SOON","ON TRACK"))),IF($P216&lt;=TODAY(),"FOLLOW-UP DUE","ON TRACK"))))</f>
        <v/>
      </c>
      <c r="S216" s="35"/>
      <c r="T216" s="35"/>
      <c r="U216" s="38"/>
      <c r="V216" s="34"/>
      <c r="W216" s="35" t="str">
        <f aca="false">IF(OR($R216="OVERDUE",$R216="DUE SOON",$R216="FOLLOW-UP DUE"),MAX(W$3:W215)+1,"")</f>
        <v/>
      </c>
    </row>
    <row r="217" customFormat="false" ht="15" hidden="false" customHeight="false" outlineLevel="0" collapsed="false">
      <c r="A217" s="33" t="str">
        <f aca="false">IF($D217="","","JOB-"&amp;TEXT(ROW()-3,"000"))</f>
        <v/>
      </c>
      <c r="B217" s="34"/>
      <c r="C217" s="35"/>
      <c r="D217" s="35"/>
      <c r="E217" s="35"/>
      <c r="F217" s="35"/>
      <c r="G217" s="33"/>
      <c r="H217" s="35"/>
      <c r="I217" s="35"/>
      <c r="J217" s="35"/>
      <c r="K217" s="33"/>
      <c r="L217" s="33"/>
      <c r="M217" s="34"/>
      <c r="N217" s="34"/>
      <c r="O217" s="34"/>
      <c r="P217" s="34" t="str">
        <f aca="false">IF(OR($D217="",$M217=""),"",IF(IFERROR(INDEX(Settings!$C$11:$C$19,MATCH($L217,Settings!$B$11:$B$19,0)),"Yes")="No","",MAX($M217,$O217)+Settings!$C$6))</f>
        <v/>
      </c>
      <c r="Q217" s="36" t="str">
        <f aca="true">IF($D217="","",IF(IFERROR(INDEX(Settings!$C$11:$C$19,MATCH($L217,Settings!$B$11:$B$19,0)),"Yes")="No","",IF($M217="",IF($N217="","",$N217-TODAY()),IF($P217="","",$P217-TODAY()))))</f>
        <v/>
      </c>
      <c r="R217" s="37" t="str">
        <f aca="true">IF($D217="","",IF(IFERROR(INDEX(Settings!$C$11:$C$19,MATCH($L217,Settings!$B$11:$B$19,0)),"Yes")="No","CLOSED",IF($M217="",IF($N217="","ON TRACK",IF($N217&lt;TODAY(),"OVERDUE",IF($N217-TODAY()&lt;=Settings!$C$5,"DUE SOON","ON TRACK"))),IF($P217&lt;=TODAY(),"FOLLOW-UP DUE","ON TRACK"))))</f>
        <v/>
      </c>
      <c r="S217" s="35"/>
      <c r="T217" s="35"/>
      <c r="U217" s="38"/>
      <c r="V217" s="34"/>
      <c r="W217" s="35" t="str">
        <f aca="false">IF(OR($R217="OVERDUE",$R217="DUE SOON",$R217="FOLLOW-UP DUE"),MAX(W$3:W216)+1,"")</f>
        <v/>
      </c>
    </row>
    <row r="218" customFormat="false" ht="15" hidden="false" customHeight="false" outlineLevel="0" collapsed="false">
      <c r="A218" s="33" t="str">
        <f aca="false">IF($D218="","","JOB-"&amp;TEXT(ROW()-3,"000"))</f>
        <v/>
      </c>
      <c r="B218" s="34"/>
      <c r="C218" s="35"/>
      <c r="D218" s="35"/>
      <c r="E218" s="35"/>
      <c r="F218" s="35"/>
      <c r="G218" s="33"/>
      <c r="H218" s="35"/>
      <c r="I218" s="35"/>
      <c r="J218" s="35"/>
      <c r="K218" s="33"/>
      <c r="L218" s="33"/>
      <c r="M218" s="34"/>
      <c r="N218" s="34"/>
      <c r="O218" s="34"/>
      <c r="P218" s="34" t="str">
        <f aca="false">IF(OR($D218="",$M218=""),"",IF(IFERROR(INDEX(Settings!$C$11:$C$19,MATCH($L218,Settings!$B$11:$B$19,0)),"Yes")="No","",MAX($M218,$O218)+Settings!$C$6))</f>
        <v/>
      </c>
      <c r="Q218" s="36" t="str">
        <f aca="true">IF($D218="","",IF(IFERROR(INDEX(Settings!$C$11:$C$19,MATCH($L218,Settings!$B$11:$B$19,0)),"Yes")="No","",IF($M218="",IF($N218="","",$N218-TODAY()),IF($P218="","",$P218-TODAY()))))</f>
        <v/>
      </c>
      <c r="R218" s="37" t="str">
        <f aca="true">IF($D218="","",IF(IFERROR(INDEX(Settings!$C$11:$C$19,MATCH($L218,Settings!$B$11:$B$19,0)),"Yes")="No","CLOSED",IF($M218="",IF($N218="","ON TRACK",IF($N218&lt;TODAY(),"OVERDUE",IF($N218-TODAY()&lt;=Settings!$C$5,"DUE SOON","ON TRACK"))),IF($P218&lt;=TODAY(),"FOLLOW-UP DUE","ON TRACK"))))</f>
        <v/>
      </c>
      <c r="S218" s="35"/>
      <c r="T218" s="35"/>
      <c r="U218" s="38"/>
      <c r="V218" s="34"/>
      <c r="W218" s="35" t="str">
        <f aca="false">IF(OR($R218="OVERDUE",$R218="DUE SOON",$R218="FOLLOW-UP DUE"),MAX(W$3:W217)+1,"")</f>
        <v/>
      </c>
    </row>
    <row r="219" customFormat="false" ht="15" hidden="false" customHeight="false" outlineLevel="0" collapsed="false">
      <c r="A219" s="33" t="str">
        <f aca="false">IF($D219="","","JOB-"&amp;TEXT(ROW()-3,"000"))</f>
        <v/>
      </c>
      <c r="B219" s="34"/>
      <c r="C219" s="35"/>
      <c r="D219" s="35"/>
      <c r="E219" s="35"/>
      <c r="F219" s="35"/>
      <c r="G219" s="33"/>
      <c r="H219" s="35"/>
      <c r="I219" s="35"/>
      <c r="J219" s="35"/>
      <c r="K219" s="33"/>
      <c r="L219" s="33"/>
      <c r="M219" s="34"/>
      <c r="N219" s="34"/>
      <c r="O219" s="34"/>
      <c r="P219" s="34" t="str">
        <f aca="false">IF(OR($D219="",$M219=""),"",IF(IFERROR(INDEX(Settings!$C$11:$C$19,MATCH($L219,Settings!$B$11:$B$19,0)),"Yes")="No","",MAX($M219,$O219)+Settings!$C$6))</f>
        <v/>
      </c>
      <c r="Q219" s="36" t="str">
        <f aca="true">IF($D219="","",IF(IFERROR(INDEX(Settings!$C$11:$C$19,MATCH($L219,Settings!$B$11:$B$19,0)),"Yes")="No","",IF($M219="",IF($N219="","",$N219-TODAY()),IF($P219="","",$P219-TODAY()))))</f>
        <v/>
      </c>
      <c r="R219" s="37" t="str">
        <f aca="true">IF($D219="","",IF(IFERROR(INDEX(Settings!$C$11:$C$19,MATCH($L219,Settings!$B$11:$B$19,0)),"Yes")="No","CLOSED",IF($M219="",IF($N219="","ON TRACK",IF($N219&lt;TODAY(),"OVERDUE",IF($N219-TODAY()&lt;=Settings!$C$5,"DUE SOON","ON TRACK"))),IF($P219&lt;=TODAY(),"FOLLOW-UP DUE","ON TRACK"))))</f>
        <v/>
      </c>
      <c r="S219" s="35"/>
      <c r="T219" s="35"/>
      <c r="U219" s="38"/>
      <c r="V219" s="34"/>
      <c r="W219" s="35" t="str">
        <f aca="false">IF(OR($R219="OVERDUE",$R219="DUE SOON",$R219="FOLLOW-UP DUE"),MAX(W$3:W218)+1,"")</f>
        <v/>
      </c>
    </row>
    <row r="220" customFormat="false" ht="15" hidden="false" customHeight="false" outlineLevel="0" collapsed="false">
      <c r="A220" s="33" t="str">
        <f aca="false">IF($D220="","","JOB-"&amp;TEXT(ROW()-3,"000"))</f>
        <v/>
      </c>
      <c r="B220" s="34"/>
      <c r="C220" s="35"/>
      <c r="D220" s="35"/>
      <c r="E220" s="35"/>
      <c r="F220" s="35"/>
      <c r="G220" s="33"/>
      <c r="H220" s="35"/>
      <c r="I220" s="35"/>
      <c r="J220" s="35"/>
      <c r="K220" s="33"/>
      <c r="L220" s="33"/>
      <c r="M220" s="34"/>
      <c r="N220" s="34"/>
      <c r="O220" s="34"/>
      <c r="P220" s="34" t="str">
        <f aca="false">IF(OR($D220="",$M220=""),"",IF(IFERROR(INDEX(Settings!$C$11:$C$19,MATCH($L220,Settings!$B$11:$B$19,0)),"Yes")="No","",MAX($M220,$O220)+Settings!$C$6))</f>
        <v/>
      </c>
      <c r="Q220" s="36" t="str">
        <f aca="true">IF($D220="","",IF(IFERROR(INDEX(Settings!$C$11:$C$19,MATCH($L220,Settings!$B$11:$B$19,0)),"Yes")="No","",IF($M220="",IF($N220="","",$N220-TODAY()),IF($P220="","",$P220-TODAY()))))</f>
        <v/>
      </c>
      <c r="R220" s="37" t="str">
        <f aca="true">IF($D220="","",IF(IFERROR(INDEX(Settings!$C$11:$C$19,MATCH($L220,Settings!$B$11:$B$19,0)),"Yes")="No","CLOSED",IF($M220="",IF($N220="","ON TRACK",IF($N220&lt;TODAY(),"OVERDUE",IF($N220-TODAY()&lt;=Settings!$C$5,"DUE SOON","ON TRACK"))),IF($P220&lt;=TODAY(),"FOLLOW-UP DUE","ON TRACK"))))</f>
        <v/>
      </c>
      <c r="S220" s="35"/>
      <c r="T220" s="35"/>
      <c r="U220" s="38"/>
      <c r="V220" s="34"/>
      <c r="W220" s="35" t="str">
        <f aca="false">IF(OR($R220="OVERDUE",$R220="DUE SOON",$R220="FOLLOW-UP DUE"),MAX(W$3:W219)+1,"")</f>
        <v/>
      </c>
    </row>
    <row r="221" customFormat="false" ht="15" hidden="false" customHeight="false" outlineLevel="0" collapsed="false">
      <c r="A221" s="33" t="str">
        <f aca="false">IF($D221="","","JOB-"&amp;TEXT(ROW()-3,"000"))</f>
        <v/>
      </c>
      <c r="B221" s="34"/>
      <c r="C221" s="35"/>
      <c r="D221" s="35"/>
      <c r="E221" s="35"/>
      <c r="F221" s="35"/>
      <c r="G221" s="33"/>
      <c r="H221" s="35"/>
      <c r="I221" s="35"/>
      <c r="J221" s="35"/>
      <c r="K221" s="33"/>
      <c r="L221" s="33"/>
      <c r="M221" s="34"/>
      <c r="N221" s="34"/>
      <c r="O221" s="34"/>
      <c r="P221" s="34" t="str">
        <f aca="false">IF(OR($D221="",$M221=""),"",IF(IFERROR(INDEX(Settings!$C$11:$C$19,MATCH($L221,Settings!$B$11:$B$19,0)),"Yes")="No","",MAX($M221,$O221)+Settings!$C$6))</f>
        <v/>
      </c>
      <c r="Q221" s="36" t="str">
        <f aca="true">IF($D221="","",IF(IFERROR(INDEX(Settings!$C$11:$C$19,MATCH($L221,Settings!$B$11:$B$19,0)),"Yes")="No","",IF($M221="",IF($N221="","",$N221-TODAY()),IF($P221="","",$P221-TODAY()))))</f>
        <v/>
      </c>
      <c r="R221" s="37" t="str">
        <f aca="true">IF($D221="","",IF(IFERROR(INDEX(Settings!$C$11:$C$19,MATCH($L221,Settings!$B$11:$B$19,0)),"Yes")="No","CLOSED",IF($M221="",IF($N221="","ON TRACK",IF($N221&lt;TODAY(),"OVERDUE",IF($N221-TODAY()&lt;=Settings!$C$5,"DUE SOON","ON TRACK"))),IF($P221&lt;=TODAY(),"FOLLOW-UP DUE","ON TRACK"))))</f>
        <v/>
      </c>
      <c r="S221" s="35"/>
      <c r="T221" s="35"/>
      <c r="U221" s="38"/>
      <c r="V221" s="34"/>
      <c r="W221" s="35" t="str">
        <f aca="false">IF(OR($R221="OVERDUE",$R221="DUE SOON",$R221="FOLLOW-UP DUE"),MAX(W$3:W220)+1,"")</f>
        <v/>
      </c>
    </row>
    <row r="222" customFormat="false" ht="15" hidden="false" customHeight="false" outlineLevel="0" collapsed="false">
      <c r="A222" s="33" t="str">
        <f aca="false">IF($D222="","","JOB-"&amp;TEXT(ROW()-3,"000"))</f>
        <v/>
      </c>
      <c r="B222" s="34"/>
      <c r="C222" s="35"/>
      <c r="D222" s="35"/>
      <c r="E222" s="35"/>
      <c r="F222" s="35"/>
      <c r="G222" s="33"/>
      <c r="H222" s="35"/>
      <c r="I222" s="35"/>
      <c r="J222" s="35"/>
      <c r="K222" s="33"/>
      <c r="L222" s="33"/>
      <c r="M222" s="34"/>
      <c r="N222" s="34"/>
      <c r="O222" s="34"/>
      <c r="P222" s="34" t="str">
        <f aca="false">IF(OR($D222="",$M222=""),"",IF(IFERROR(INDEX(Settings!$C$11:$C$19,MATCH($L222,Settings!$B$11:$B$19,0)),"Yes")="No","",MAX($M222,$O222)+Settings!$C$6))</f>
        <v/>
      </c>
      <c r="Q222" s="36" t="str">
        <f aca="true">IF($D222="","",IF(IFERROR(INDEX(Settings!$C$11:$C$19,MATCH($L222,Settings!$B$11:$B$19,0)),"Yes")="No","",IF($M222="",IF($N222="","",$N222-TODAY()),IF($P222="","",$P222-TODAY()))))</f>
        <v/>
      </c>
      <c r="R222" s="37" t="str">
        <f aca="true">IF($D222="","",IF(IFERROR(INDEX(Settings!$C$11:$C$19,MATCH($L222,Settings!$B$11:$B$19,0)),"Yes")="No","CLOSED",IF($M222="",IF($N222="","ON TRACK",IF($N222&lt;TODAY(),"OVERDUE",IF($N222-TODAY()&lt;=Settings!$C$5,"DUE SOON","ON TRACK"))),IF($P222&lt;=TODAY(),"FOLLOW-UP DUE","ON TRACK"))))</f>
        <v/>
      </c>
      <c r="S222" s="35"/>
      <c r="T222" s="35"/>
      <c r="U222" s="38"/>
      <c r="V222" s="34"/>
      <c r="W222" s="35" t="str">
        <f aca="false">IF(OR($R222="OVERDUE",$R222="DUE SOON",$R222="FOLLOW-UP DUE"),MAX(W$3:W221)+1,"")</f>
        <v/>
      </c>
    </row>
    <row r="223" customFormat="false" ht="15" hidden="false" customHeight="false" outlineLevel="0" collapsed="false">
      <c r="A223" s="33" t="str">
        <f aca="false">IF($D223="","","JOB-"&amp;TEXT(ROW()-3,"000"))</f>
        <v/>
      </c>
      <c r="B223" s="34"/>
      <c r="C223" s="35"/>
      <c r="D223" s="35"/>
      <c r="E223" s="35"/>
      <c r="F223" s="35"/>
      <c r="G223" s="33"/>
      <c r="H223" s="35"/>
      <c r="I223" s="35"/>
      <c r="J223" s="35"/>
      <c r="K223" s="33"/>
      <c r="L223" s="33"/>
      <c r="M223" s="34"/>
      <c r="N223" s="34"/>
      <c r="O223" s="34"/>
      <c r="P223" s="34" t="str">
        <f aca="false">IF(OR($D223="",$M223=""),"",IF(IFERROR(INDEX(Settings!$C$11:$C$19,MATCH($L223,Settings!$B$11:$B$19,0)),"Yes")="No","",MAX($M223,$O223)+Settings!$C$6))</f>
        <v/>
      </c>
      <c r="Q223" s="36" t="str">
        <f aca="true">IF($D223="","",IF(IFERROR(INDEX(Settings!$C$11:$C$19,MATCH($L223,Settings!$B$11:$B$19,0)),"Yes")="No","",IF($M223="",IF($N223="","",$N223-TODAY()),IF($P223="","",$P223-TODAY()))))</f>
        <v/>
      </c>
      <c r="R223" s="37" t="str">
        <f aca="true">IF($D223="","",IF(IFERROR(INDEX(Settings!$C$11:$C$19,MATCH($L223,Settings!$B$11:$B$19,0)),"Yes")="No","CLOSED",IF($M223="",IF($N223="","ON TRACK",IF($N223&lt;TODAY(),"OVERDUE",IF($N223-TODAY()&lt;=Settings!$C$5,"DUE SOON","ON TRACK"))),IF($P223&lt;=TODAY(),"FOLLOW-UP DUE","ON TRACK"))))</f>
        <v/>
      </c>
      <c r="S223" s="35"/>
      <c r="T223" s="35"/>
      <c r="U223" s="38"/>
      <c r="V223" s="34"/>
      <c r="W223" s="35" t="str">
        <f aca="false">IF(OR($R223="OVERDUE",$R223="DUE SOON",$R223="FOLLOW-UP DUE"),MAX(W$3:W222)+1,"")</f>
        <v/>
      </c>
    </row>
    <row r="224" customFormat="false" ht="15" hidden="false" customHeight="false" outlineLevel="0" collapsed="false">
      <c r="A224" s="33" t="str">
        <f aca="false">IF($D224="","","JOB-"&amp;TEXT(ROW()-3,"000"))</f>
        <v/>
      </c>
      <c r="B224" s="34"/>
      <c r="C224" s="35"/>
      <c r="D224" s="35"/>
      <c r="E224" s="35"/>
      <c r="F224" s="35"/>
      <c r="G224" s="33"/>
      <c r="H224" s="35"/>
      <c r="I224" s="35"/>
      <c r="J224" s="35"/>
      <c r="K224" s="33"/>
      <c r="L224" s="33"/>
      <c r="M224" s="34"/>
      <c r="N224" s="34"/>
      <c r="O224" s="34"/>
      <c r="P224" s="34" t="str">
        <f aca="false">IF(OR($D224="",$M224=""),"",IF(IFERROR(INDEX(Settings!$C$11:$C$19,MATCH($L224,Settings!$B$11:$B$19,0)),"Yes")="No","",MAX($M224,$O224)+Settings!$C$6))</f>
        <v/>
      </c>
      <c r="Q224" s="36" t="str">
        <f aca="true">IF($D224="","",IF(IFERROR(INDEX(Settings!$C$11:$C$19,MATCH($L224,Settings!$B$11:$B$19,0)),"Yes")="No","",IF($M224="",IF($N224="","",$N224-TODAY()),IF($P224="","",$P224-TODAY()))))</f>
        <v/>
      </c>
      <c r="R224" s="37" t="str">
        <f aca="true">IF($D224="","",IF(IFERROR(INDEX(Settings!$C$11:$C$19,MATCH($L224,Settings!$B$11:$B$19,0)),"Yes")="No","CLOSED",IF($M224="",IF($N224="","ON TRACK",IF($N224&lt;TODAY(),"OVERDUE",IF($N224-TODAY()&lt;=Settings!$C$5,"DUE SOON","ON TRACK"))),IF($P224&lt;=TODAY(),"FOLLOW-UP DUE","ON TRACK"))))</f>
        <v/>
      </c>
      <c r="S224" s="35"/>
      <c r="T224" s="35"/>
      <c r="U224" s="38"/>
      <c r="V224" s="34"/>
      <c r="W224" s="35" t="str">
        <f aca="false">IF(OR($R224="OVERDUE",$R224="DUE SOON",$R224="FOLLOW-UP DUE"),MAX(W$3:W223)+1,"")</f>
        <v/>
      </c>
    </row>
    <row r="225" customFormat="false" ht="15" hidden="false" customHeight="false" outlineLevel="0" collapsed="false">
      <c r="A225" s="33" t="str">
        <f aca="false">IF($D225="","","JOB-"&amp;TEXT(ROW()-3,"000"))</f>
        <v/>
      </c>
      <c r="B225" s="34"/>
      <c r="C225" s="35"/>
      <c r="D225" s="35"/>
      <c r="E225" s="35"/>
      <c r="F225" s="35"/>
      <c r="G225" s="33"/>
      <c r="H225" s="35"/>
      <c r="I225" s="35"/>
      <c r="J225" s="35"/>
      <c r="K225" s="33"/>
      <c r="L225" s="33"/>
      <c r="M225" s="34"/>
      <c r="N225" s="34"/>
      <c r="O225" s="34"/>
      <c r="P225" s="34" t="str">
        <f aca="false">IF(OR($D225="",$M225=""),"",IF(IFERROR(INDEX(Settings!$C$11:$C$19,MATCH($L225,Settings!$B$11:$B$19,0)),"Yes")="No","",MAX($M225,$O225)+Settings!$C$6))</f>
        <v/>
      </c>
      <c r="Q225" s="36" t="str">
        <f aca="true">IF($D225="","",IF(IFERROR(INDEX(Settings!$C$11:$C$19,MATCH($L225,Settings!$B$11:$B$19,0)),"Yes")="No","",IF($M225="",IF($N225="","",$N225-TODAY()),IF($P225="","",$P225-TODAY()))))</f>
        <v/>
      </c>
      <c r="R225" s="37" t="str">
        <f aca="true">IF($D225="","",IF(IFERROR(INDEX(Settings!$C$11:$C$19,MATCH($L225,Settings!$B$11:$B$19,0)),"Yes")="No","CLOSED",IF($M225="",IF($N225="","ON TRACK",IF($N225&lt;TODAY(),"OVERDUE",IF($N225-TODAY()&lt;=Settings!$C$5,"DUE SOON","ON TRACK"))),IF($P225&lt;=TODAY(),"FOLLOW-UP DUE","ON TRACK"))))</f>
        <v/>
      </c>
      <c r="S225" s="35"/>
      <c r="T225" s="35"/>
      <c r="U225" s="38"/>
      <c r="V225" s="34"/>
      <c r="W225" s="35" t="str">
        <f aca="false">IF(OR($R225="OVERDUE",$R225="DUE SOON",$R225="FOLLOW-UP DUE"),MAX(W$3:W224)+1,"")</f>
        <v/>
      </c>
    </row>
    <row r="226" customFormat="false" ht="15" hidden="false" customHeight="false" outlineLevel="0" collapsed="false">
      <c r="A226" s="33" t="str">
        <f aca="false">IF($D226="","","JOB-"&amp;TEXT(ROW()-3,"000"))</f>
        <v/>
      </c>
      <c r="B226" s="34"/>
      <c r="C226" s="35"/>
      <c r="D226" s="35"/>
      <c r="E226" s="35"/>
      <c r="F226" s="35"/>
      <c r="G226" s="33"/>
      <c r="H226" s="35"/>
      <c r="I226" s="35"/>
      <c r="J226" s="35"/>
      <c r="K226" s="33"/>
      <c r="L226" s="33"/>
      <c r="M226" s="34"/>
      <c r="N226" s="34"/>
      <c r="O226" s="34"/>
      <c r="P226" s="34" t="str">
        <f aca="false">IF(OR($D226="",$M226=""),"",IF(IFERROR(INDEX(Settings!$C$11:$C$19,MATCH($L226,Settings!$B$11:$B$19,0)),"Yes")="No","",MAX($M226,$O226)+Settings!$C$6))</f>
        <v/>
      </c>
      <c r="Q226" s="36" t="str">
        <f aca="true">IF($D226="","",IF(IFERROR(INDEX(Settings!$C$11:$C$19,MATCH($L226,Settings!$B$11:$B$19,0)),"Yes")="No","",IF($M226="",IF($N226="","",$N226-TODAY()),IF($P226="","",$P226-TODAY()))))</f>
        <v/>
      </c>
      <c r="R226" s="37" t="str">
        <f aca="true">IF($D226="","",IF(IFERROR(INDEX(Settings!$C$11:$C$19,MATCH($L226,Settings!$B$11:$B$19,0)),"Yes")="No","CLOSED",IF($M226="",IF($N226="","ON TRACK",IF($N226&lt;TODAY(),"OVERDUE",IF($N226-TODAY()&lt;=Settings!$C$5,"DUE SOON","ON TRACK"))),IF($P226&lt;=TODAY(),"FOLLOW-UP DUE","ON TRACK"))))</f>
        <v/>
      </c>
      <c r="S226" s="35"/>
      <c r="T226" s="35"/>
      <c r="U226" s="38"/>
      <c r="V226" s="34"/>
      <c r="W226" s="35" t="str">
        <f aca="false">IF(OR($R226="OVERDUE",$R226="DUE SOON",$R226="FOLLOW-UP DUE"),MAX(W$3:W225)+1,"")</f>
        <v/>
      </c>
    </row>
    <row r="227" customFormat="false" ht="15" hidden="false" customHeight="false" outlineLevel="0" collapsed="false">
      <c r="A227" s="33" t="str">
        <f aca="false">IF($D227="","","JOB-"&amp;TEXT(ROW()-3,"000"))</f>
        <v/>
      </c>
      <c r="B227" s="34"/>
      <c r="C227" s="35"/>
      <c r="D227" s="35"/>
      <c r="E227" s="35"/>
      <c r="F227" s="35"/>
      <c r="G227" s="33"/>
      <c r="H227" s="35"/>
      <c r="I227" s="35"/>
      <c r="J227" s="35"/>
      <c r="K227" s="33"/>
      <c r="L227" s="33"/>
      <c r="M227" s="34"/>
      <c r="N227" s="34"/>
      <c r="O227" s="34"/>
      <c r="P227" s="34" t="str">
        <f aca="false">IF(OR($D227="",$M227=""),"",IF(IFERROR(INDEX(Settings!$C$11:$C$19,MATCH($L227,Settings!$B$11:$B$19,0)),"Yes")="No","",MAX($M227,$O227)+Settings!$C$6))</f>
        <v/>
      </c>
      <c r="Q227" s="36" t="str">
        <f aca="true">IF($D227="","",IF(IFERROR(INDEX(Settings!$C$11:$C$19,MATCH($L227,Settings!$B$11:$B$19,0)),"Yes")="No","",IF($M227="",IF($N227="","",$N227-TODAY()),IF($P227="","",$P227-TODAY()))))</f>
        <v/>
      </c>
      <c r="R227" s="37" t="str">
        <f aca="true">IF($D227="","",IF(IFERROR(INDEX(Settings!$C$11:$C$19,MATCH($L227,Settings!$B$11:$B$19,0)),"Yes")="No","CLOSED",IF($M227="",IF($N227="","ON TRACK",IF($N227&lt;TODAY(),"OVERDUE",IF($N227-TODAY()&lt;=Settings!$C$5,"DUE SOON","ON TRACK"))),IF($P227&lt;=TODAY(),"FOLLOW-UP DUE","ON TRACK"))))</f>
        <v/>
      </c>
      <c r="S227" s="35"/>
      <c r="T227" s="35"/>
      <c r="U227" s="38"/>
      <c r="V227" s="34"/>
      <c r="W227" s="35" t="str">
        <f aca="false">IF(OR($R227="OVERDUE",$R227="DUE SOON",$R227="FOLLOW-UP DUE"),MAX(W$3:W226)+1,"")</f>
        <v/>
      </c>
    </row>
    <row r="228" customFormat="false" ht="15" hidden="false" customHeight="false" outlineLevel="0" collapsed="false">
      <c r="A228" s="33" t="str">
        <f aca="false">IF($D228="","","JOB-"&amp;TEXT(ROW()-3,"000"))</f>
        <v/>
      </c>
      <c r="B228" s="34"/>
      <c r="C228" s="35"/>
      <c r="D228" s="35"/>
      <c r="E228" s="35"/>
      <c r="F228" s="35"/>
      <c r="G228" s="33"/>
      <c r="H228" s="35"/>
      <c r="I228" s="35"/>
      <c r="J228" s="35"/>
      <c r="K228" s="33"/>
      <c r="L228" s="33"/>
      <c r="M228" s="34"/>
      <c r="N228" s="34"/>
      <c r="O228" s="34"/>
      <c r="P228" s="34" t="str">
        <f aca="false">IF(OR($D228="",$M228=""),"",IF(IFERROR(INDEX(Settings!$C$11:$C$19,MATCH($L228,Settings!$B$11:$B$19,0)),"Yes")="No","",MAX($M228,$O228)+Settings!$C$6))</f>
        <v/>
      </c>
      <c r="Q228" s="36" t="str">
        <f aca="true">IF($D228="","",IF(IFERROR(INDEX(Settings!$C$11:$C$19,MATCH($L228,Settings!$B$11:$B$19,0)),"Yes")="No","",IF($M228="",IF($N228="","",$N228-TODAY()),IF($P228="","",$P228-TODAY()))))</f>
        <v/>
      </c>
      <c r="R228" s="37" t="str">
        <f aca="true">IF($D228="","",IF(IFERROR(INDEX(Settings!$C$11:$C$19,MATCH($L228,Settings!$B$11:$B$19,0)),"Yes")="No","CLOSED",IF($M228="",IF($N228="","ON TRACK",IF($N228&lt;TODAY(),"OVERDUE",IF($N228-TODAY()&lt;=Settings!$C$5,"DUE SOON","ON TRACK"))),IF($P228&lt;=TODAY(),"FOLLOW-UP DUE","ON TRACK"))))</f>
        <v/>
      </c>
      <c r="S228" s="35"/>
      <c r="T228" s="35"/>
      <c r="U228" s="38"/>
      <c r="V228" s="34"/>
      <c r="W228" s="35" t="str">
        <f aca="false">IF(OR($R228="OVERDUE",$R228="DUE SOON",$R228="FOLLOW-UP DUE"),MAX(W$3:W227)+1,"")</f>
        <v/>
      </c>
    </row>
    <row r="229" customFormat="false" ht="15" hidden="false" customHeight="false" outlineLevel="0" collapsed="false">
      <c r="A229" s="33" t="str">
        <f aca="false">IF($D229="","","JOB-"&amp;TEXT(ROW()-3,"000"))</f>
        <v/>
      </c>
      <c r="B229" s="34"/>
      <c r="C229" s="35"/>
      <c r="D229" s="35"/>
      <c r="E229" s="35"/>
      <c r="F229" s="35"/>
      <c r="G229" s="33"/>
      <c r="H229" s="35"/>
      <c r="I229" s="35"/>
      <c r="J229" s="35"/>
      <c r="K229" s="33"/>
      <c r="L229" s="33"/>
      <c r="M229" s="34"/>
      <c r="N229" s="34"/>
      <c r="O229" s="34"/>
      <c r="P229" s="34" t="str">
        <f aca="false">IF(OR($D229="",$M229=""),"",IF(IFERROR(INDEX(Settings!$C$11:$C$19,MATCH($L229,Settings!$B$11:$B$19,0)),"Yes")="No","",MAX($M229,$O229)+Settings!$C$6))</f>
        <v/>
      </c>
      <c r="Q229" s="36" t="str">
        <f aca="true">IF($D229="","",IF(IFERROR(INDEX(Settings!$C$11:$C$19,MATCH($L229,Settings!$B$11:$B$19,0)),"Yes")="No","",IF($M229="",IF($N229="","",$N229-TODAY()),IF($P229="","",$P229-TODAY()))))</f>
        <v/>
      </c>
      <c r="R229" s="37" t="str">
        <f aca="true">IF($D229="","",IF(IFERROR(INDEX(Settings!$C$11:$C$19,MATCH($L229,Settings!$B$11:$B$19,0)),"Yes")="No","CLOSED",IF($M229="",IF($N229="","ON TRACK",IF($N229&lt;TODAY(),"OVERDUE",IF($N229-TODAY()&lt;=Settings!$C$5,"DUE SOON","ON TRACK"))),IF($P229&lt;=TODAY(),"FOLLOW-UP DUE","ON TRACK"))))</f>
        <v/>
      </c>
      <c r="S229" s="35"/>
      <c r="T229" s="35"/>
      <c r="U229" s="38"/>
      <c r="V229" s="34"/>
      <c r="W229" s="35" t="str">
        <f aca="false">IF(OR($R229="OVERDUE",$R229="DUE SOON",$R229="FOLLOW-UP DUE"),MAX(W$3:W228)+1,"")</f>
        <v/>
      </c>
    </row>
    <row r="230" customFormat="false" ht="15" hidden="false" customHeight="false" outlineLevel="0" collapsed="false">
      <c r="A230" s="33" t="str">
        <f aca="false">IF($D230="","","JOB-"&amp;TEXT(ROW()-3,"000"))</f>
        <v/>
      </c>
      <c r="B230" s="34"/>
      <c r="C230" s="35"/>
      <c r="D230" s="35"/>
      <c r="E230" s="35"/>
      <c r="F230" s="35"/>
      <c r="G230" s="33"/>
      <c r="H230" s="35"/>
      <c r="I230" s="35"/>
      <c r="J230" s="35"/>
      <c r="K230" s="33"/>
      <c r="L230" s="33"/>
      <c r="M230" s="34"/>
      <c r="N230" s="34"/>
      <c r="O230" s="34"/>
      <c r="P230" s="34" t="str">
        <f aca="false">IF(OR($D230="",$M230=""),"",IF(IFERROR(INDEX(Settings!$C$11:$C$19,MATCH($L230,Settings!$B$11:$B$19,0)),"Yes")="No","",MAX($M230,$O230)+Settings!$C$6))</f>
        <v/>
      </c>
      <c r="Q230" s="36" t="str">
        <f aca="true">IF($D230="","",IF(IFERROR(INDEX(Settings!$C$11:$C$19,MATCH($L230,Settings!$B$11:$B$19,0)),"Yes")="No","",IF($M230="",IF($N230="","",$N230-TODAY()),IF($P230="","",$P230-TODAY()))))</f>
        <v/>
      </c>
      <c r="R230" s="37" t="str">
        <f aca="true">IF($D230="","",IF(IFERROR(INDEX(Settings!$C$11:$C$19,MATCH($L230,Settings!$B$11:$B$19,0)),"Yes")="No","CLOSED",IF($M230="",IF($N230="","ON TRACK",IF($N230&lt;TODAY(),"OVERDUE",IF($N230-TODAY()&lt;=Settings!$C$5,"DUE SOON","ON TRACK"))),IF($P230&lt;=TODAY(),"FOLLOW-UP DUE","ON TRACK"))))</f>
        <v/>
      </c>
      <c r="S230" s="35"/>
      <c r="T230" s="35"/>
      <c r="U230" s="38"/>
      <c r="V230" s="34"/>
      <c r="W230" s="35" t="str">
        <f aca="false">IF(OR($R230="OVERDUE",$R230="DUE SOON",$R230="FOLLOW-UP DUE"),MAX(W$3:W229)+1,"")</f>
        <v/>
      </c>
    </row>
    <row r="231" customFormat="false" ht="15" hidden="false" customHeight="false" outlineLevel="0" collapsed="false">
      <c r="A231" s="33" t="str">
        <f aca="false">IF($D231="","","JOB-"&amp;TEXT(ROW()-3,"000"))</f>
        <v/>
      </c>
      <c r="B231" s="34"/>
      <c r="C231" s="35"/>
      <c r="D231" s="35"/>
      <c r="E231" s="35"/>
      <c r="F231" s="35"/>
      <c r="G231" s="33"/>
      <c r="H231" s="35"/>
      <c r="I231" s="35"/>
      <c r="J231" s="35"/>
      <c r="K231" s="33"/>
      <c r="L231" s="33"/>
      <c r="M231" s="34"/>
      <c r="N231" s="34"/>
      <c r="O231" s="34"/>
      <c r="P231" s="34" t="str">
        <f aca="false">IF(OR($D231="",$M231=""),"",IF(IFERROR(INDEX(Settings!$C$11:$C$19,MATCH($L231,Settings!$B$11:$B$19,0)),"Yes")="No","",MAX($M231,$O231)+Settings!$C$6))</f>
        <v/>
      </c>
      <c r="Q231" s="36" t="str">
        <f aca="true">IF($D231="","",IF(IFERROR(INDEX(Settings!$C$11:$C$19,MATCH($L231,Settings!$B$11:$B$19,0)),"Yes")="No","",IF($M231="",IF($N231="","",$N231-TODAY()),IF($P231="","",$P231-TODAY()))))</f>
        <v/>
      </c>
      <c r="R231" s="37" t="str">
        <f aca="true">IF($D231="","",IF(IFERROR(INDEX(Settings!$C$11:$C$19,MATCH($L231,Settings!$B$11:$B$19,0)),"Yes")="No","CLOSED",IF($M231="",IF($N231="","ON TRACK",IF($N231&lt;TODAY(),"OVERDUE",IF($N231-TODAY()&lt;=Settings!$C$5,"DUE SOON","ON TRACK"))),IF($P231&lt;=TODAY(),"FOLLOW-UP DUE","ON TRACK"))))</f>
        <v/>
      </c>
      <c r="S231" s="35"/>
      <c r="T231" s="35"/>
      <c r="U231" s="38"/>
      <c r="V231" s="34"/>
      <c r="W231" s="35" t="str">
        <f aca="false">IF(OR($R231="OVERDUE",$R231="DUE SOON",$R231="FOLLOW-UP DUE"),MAX(W$3:W230)+1,"")</f>
        <v/>
      </c>
    </row>
    <row r="232" customFormat="false" ht="15" hidden="false" customHeight="false" outlineLevel="0" collapsed="false">
      <c r="A232" s="33" t="str">
        <f aca="false">IF($D232="","","JOB-"&amp;TEXT(ROW()-3,"000"))</f>
        <v/>
      </c>
      <c r="B232" s="34"/>
      <c r="C232" s="35"/>
      <c r="D232" s="35"/>
      <c r="E232" s="35"/>
      <c r="F232" s="35"/>
      <c r="G232" s="33"/>
      <c r="H232" s="35"/>
      <c r="I232" s="35"/>
      <c r="J232" s="35"/>
      <c r="K232" s="33"/>
      <c r="L232" s="33"/>
      <c r="M232" s="34"/>
      <c r="N232" s="34"/>
      <c r="O232" s="34"/>
      <c r="P232" s="34" t="str">
        <f aca="false">IF(OR($D232="",$M232=""),"",IF(IFERROR(INDEX(Settings!$C$11:$C$19,MATCH($L232,Settings!$B$11:$B$19,0)),"Yes")="No","",MAX($M232,$O232)+Settings!$C$6))</f>
        <v/>
      </c>
      <c r="Q232" s="36" t="str">
        <f aca="true">IF($D232="","",IF(IFERROR(INDEX(Settings!$C$11:$C$19,MATCH($L232,Settings!$B$11:$B$19,0)),"Yes")="No","",IF($M232="",IF($N232="","",$N232-TODAY()),IF($P232="","",$P232-TODAY()))))</f>
        <v/>
      </c>
      <c r="R232" s="37" t="str">
        <f aca="true">IF($D232="","",IF(IFERROR(INDEX(Settings!$C$11:$C$19,MATCH($L232,Settings!$B$11:$B$19,0)),"Yes")="No","CLOSED",IF($M232="",IF($N232="","ON TRACK",IF($N232&lt;TODAY(),"OVERDUE",IF($N232-TODAY()&lt;=Settings!$C$5,"DUE SOON","ON TRACK"))),IF($P232&lt;=TODAY(),"FOLLOW-UP DUE","ON TRACK"))))</f>
        <v/>
      </c>
      <c r="S232" s="35"/>
      <c r="T232" s="35"/>
      <c r="U232" s="38"/>
      <c r="V232" s="34"/>
      <c r="W232" s="35" t="str">
        <f aca="false">IF(OR($R232="OVERDUE",$R232="DUE SOON",$R232="FOLLOW-UP DUE"),MAX(W$3:W231)+1,"")</f>
        <v/>
      </c>
    </row>
    <row r="233" customFormat="false" ht="15" hidden="false" customHeight="false" outlineLevel="0" collapsed="false">
      <c r="A233" s="33" t="str">
        <f aca="false">IF($D233="","","JOB-"&amp;TEXT(ROW()-3,"000"))</f>
        <v/>
      </c>
      <c r="B233" s="34"/>
      <c r="C233" s="35"/>
      <c r="D233" s="35"/>
      <c r="E233" s="35"/>
      <c r="F233" s="35"/>
      <c r="G233" s="33"/>
      <c r="H233" s="35"/>
      <c r="I233" s="35"/>
      <c r="J233" s="35"/>
      <c r="K233" s="33"/>
      <c r="L233" s="33"/>
      <c r="M233" s="34"/>
      <c r="N233" s="34"/>
      <c r="O233" s="34"/>
      <c r="P233" s="34" t="str">
        <f aca="false">IF(OR($D233="",$M233=""),"",IF(IFERROR(INDEX(Settings!$C$11:$C$19,MATCH($L233,Settings!$B$11:$B$19,0)),"Yes")="No","",MAX($M233,$O233)+Settings!$C$6))</f>
        <v/>
      </c>
      <c r="Q233" s="36" t="str">
        <f aca="true">IF($D233="","",IF(IFERROR(INDEX(Settings!$C$11:$C$19,MATCH($L233,Settings!$B$11:$B$19,0)),"Yes")="No","",IF($M233="",IF($N233="","",$N233-TODAY()),IF($P233="","",$P233-TODAY()))))</f>
        <v/>
      </c>
      <c r="R233" s="37" t="str">
        <f aca="true">IF($D233="","",IF(IFERROR(INDEX(Settings!$C$11:$C$19,MATCH($L233,Settings!$B$11:$B$19,0)),"Yes")="No","CLOSED",IF($M233="",IF($N233="","ON TRACK",IF($N233&lt;TODAY(),"OVERDUE",IF($N233-TODAY()&lt;=Settings!$C$5,"DUE SOON","ON TRACK"))),IF($P233&lt;=TODAY(),"FOLLOW-UP DUE","ON TRACK"))))</f>
        <v/>
      </c>
      <c r="S233" s="35"/>
      <c r="T233" s="35"/>
      <c r="U233" s="38"/>
      <c r="V233" s="34"/>
      <c r="W233" s="35" t="str">
        <f aca="false">IF(OR($R233="OVERDUE",$R233="DUE SOON",$R233="FOLLOW-UP DUE"),MAX(W$3:W232)+1,"")</f>
        <v/>
      </c>
    </row>
    <row r="234" customFormat="false" ht="15" hidden="false" customHeight="false" outlineLevel="0" collapsed="false">
      <c r="A234" s="33" t="str">
        <f aca="false">IF($D234="","","JOB-"&amp;TEXT(ROW()-3,"000"))</f>
        <v/>
      </c>
      <c r="B234" s="34"/>
      <c r="C234" s="35"/>
      <c r="D234" s="35"/>
      <c r="E234" s="35"/>
      <c r="F234" s="35"/>
      <c r="G234" s="33"/>
      <c r="H234" s="35"/>
      <c r="I234" s="35"/>
      <c r="J234" s="35"/>
      <c r="K234" s="33"/>
      <c r="L234" s="33"/>
      <c r="M234" s="34"/>
      <c r="N234" s="34"/>
      <c r="O234" s="34"/>
      <c r="P234" s="34" t="str">
        <f aca="false">IF(OR($D234="",$M234=""),"",IF(IFERROR(INDEX(Settings!$C$11:$C$19,MATCH($L234,Settings!$B$11:$B$19,0)),"Yes")="No","",MAX($M234,$O234)+Settings!$C$6))</f>
        <v/>
      </c>
      <c r="Q234" s="36" t="str">
        <f aca="true">IF($D234="","",IF(IFERROR(INDEX(Settings!$C$11:$C$19,MATCH($L234,Settings!$B$11:$B$19,0)),"Yes")="No","",IF($M234="",IF($N234="","",$N234-TODAY()),IF($P234="","",$P234-TODAY()))))</f>
        <v/>
      </c>
      <c r="R234" s="37" t="str">
        <f aca="true">IF($D234="","",IF(IFERROR(INDEX(Settings!$C$11:$C$19,MATCH($L234,Settings!$B$11:$B$19,0)),"Yes")="No","CLOSED",IF($M234="",IF($N234="","ON TRACK",IF($N234&lt;TODAY(),"OVERDUE",IF($N234-TODAY()&lt;=Settings!$C$5,"DUE SOON","ON TRACK"))),IF($P234&lt;=TODAY(),"FOLLOW-UP DUE","ON TRACK"))))</f>
        <v/>
      </c>
      <c r="S234" s="35"/>
      <c r="T234" s="35"/>
      <c r="U234" s="38"/>
      <c r="V234" s="34"/>
      <c r="W234" s="35" t="str">
        <f aca="false">IF(OR($R234="OVERDUE",$R234="DUE SOON",$R234="FOLLOW-UP DUE"),MAX(W$3:W233)+1,"")</f>
        <v/>
      </c>
    </row>
    <row r="235" customFormat="false" ht="15" hidden="false" customHeight="false" outlineLevel="0" collapsed="false">
      <c r="A235" s="33" t="str">
        <f aca="false">IF($D235="","","JOB-"&amp;TEXT(ROW()-3,"000"))</f>
        <v/>
      </c>
      <c r="B235" s="34"/>
      <c r="C235" s="35"/>
      <c r="D235" s="35"/>
      <c r="E235" s="35"/>
      <c r="F235" s="35"/>
      <c r="G235" s="33"/>
      <c r="H235" s="35"/>
      <c r="I235" s="35"/>
      <c r="J235" s="35"/>
      <c r="K235" s="33"/>
      <c r="L235" s="33"/>
      <c r="M235" s="34"/>
      <c r="N235" s="34"/>
      <c r="O235" s="34"/>
      <c r="P235" s="34" t="str">
        <f aca="false">IF(OR($D235="",$M235=""),"",IF(IFERROR(INDEX(Settings!$C$11:$C$19,MATCH($L235,Settings!$B$11:$B$19,0)),"Yes")="No","",MAX($M235,$O235)+Settings!$C$6))</f>
        <v/>
      </c>
      <c r="Q235" s="36" t="str">
        <f aca="true">IF($D235="","",IF(IFERROR(INDEX(Settings!$C$11:$C$19,MATCH($L235,Settings!$B$11:$B$19,0)),"Yes")="No","",IF($M235="",IF($N235="","",$N235-TODAY()),IF($P235="","",$P235-TODAY()))))</f>
        <v/>
      </c>
      <c r="R235" s="37" t="str">
        <f aca="true">IF($D235="","",IF(IFERROR(INDEX(Settings!$C$11:$C$19,MATCH($L235,Settings!$B$11:$B$19,0)),"Yes")="No","CLOSED",IF($M235="",IF($N235="","ON TRACK",IF($N235&lt;TODAY(),"OVERDUE",IF($N235-TODAY()&lt;=Settings!$C$5,"DUE SOON","ON TRACK"))),IF($P235&lt;=TODAY(),"FOLLOW-UP DUE","ON TRACK"))))</f>
        <v/>
      </c>
      <c r="S235" s="35"/>
      <c r="T235" s="35"/>
      <c r="U235" s="38"/>
      <c r="V235" s="34"/>
      <c r="W235" s="35" t="str">
        <f aca="false">IF(OR($R235="OVERDUE",$R235="DUE SOON",$R235="FOLLOW-UP DUE"),MAX(W$3:W234)+1,"")</f>
        <v/>
      </c>
    </row>
    <row r="236" customFormat="false" ht="15" hidden="false" customHeight="false" outlineLevel="0" collapsed="false">
      <c r="A236" s="33" t="str">
        <f aca="false">IF($D236="","","JOB-"&amp;TEXT(ROW()-3,"000"))</f>
        <v/>
      </c>
      <c r="B236" s="34"/>
      <c r="C236" s="35"/>
      <c r="D236" s="35"/>
      <c r="E236" s="35"/>
      <c r="F236" s="35"/>
      <c r="G236" s="33"/>
      <c r="H236" s="35"/>
      <c r="I236" s="35"/>
      <c r="J236" s="35"/>
      <c r="K236" s="33"/>
      <c r="L236" s="33"/>
      <c r="M236" s="34"/>
      <c r="N236" s="34"/>
      <c r="O236" s="34"/>
      <c r="P236" s="34" t="str">
        <f aca="false">IF(OR($D236="",$M236=""),"",IF(IFERROR(INDEX(Settings!$C$11:$C$19,MATCH($L236,Settings!$B$11:$B$19,0)),"Yes")="No","",MAX($M236,$O236)+Settings!$C$6))</f>
        <v/>
      </c>
      <c r="Q236" s="36" t="str">
        <f aca="true">IF($D236="","",IF(IFERROR(INDEX(Settings!$C$11:$C$19,MATCH($L236,Settings!$B$11:$B$19,0)),"Yes")="No","",IF($M236="",IF($N236="","",$N236-TODAY()),IF($P236="","",$P236-TODAY()))))</f>
        <v/>
      </c>
      <c r="R236" s="37" t="str">
        <f aca="true">IF($D236="","",IF(IFERROR(INDEX(Settings!$C$11:$C$19,MATCH($L236,Settings!$B$11:$B$19,0)),"Yes")="No","CLOSED",IF($M236="",IF($N236="","ON TRACK",IF($N236&lt;TODAY(),"OVERDUE",IF($N236-TODAY()&lt;=Settings!$C$5,"DUE SOON","ON TRACK"))),IF($P236&lt;=TODAY(),"FOLLOW-UP DUE","ON TRACK"))))</f>
        <v/>
      </c>
      <c r="S236" s="35"/>
      <c r="T236" s="35"/>
      <c r="U236" s="38"/>
      <c r="V236" s="34"/>
      <c r="W236" s="35" t="str">
        <f aca="false">IF(OR($R236="OVERDUE",$R236="DUE SOON",$R236="FOLLOW-UP DUE"),MAX(W$3:W235)+1,"")</f>
        <v/>
      </c>
    </row>
    <row r="237" customFormat="false" ht="15" hidden="false" customHeight="false" outlineLevel="0" collapsed="false">
      <c r="A237" s="33" t="str">
        <f aca="false">IF($D237="","","JOB-"&amp;TEXT(ROW()-3,"000"))</f>
        <v/>
      </c>
      <c r="B237" s="34"/>
      <c r="C237" s="35"/>
      <c r="D237" s="35"/>
      <c r="E237" s="35"/>
      <c r="F237" s="35"/>
      <c r="G237" s="33"/>
      <c r="H237" s="35"/>
      <c r="I237" s="35"/>
      <c r="J237" s="35"/>
      <c r="K237" s="33"/>
      <c r="L237" s="33"/>
      <c r="M237" s="34"/>
      <c r="N237" s="34"/>
      <c r="O237" s="34"/>
      <c r="P237" s="34" t="str">
        <f aca="false">IF(OR($D237="",$M237=""),"",IF(IFERROR(INDEX(Settings!$C$11:$C$19,MATCH($L237,Settings!$B$11:$B$19,0)),"Yes")="No","",MAX($M237,$O237)+Settings!$C$6))</f>
        <v/>
      </c>
      <c r="Q237" s="36" t="str">
        <f aca="true">IF($D237="","",IF(IFERROR(INDEX(Settings!$C$11:$C$19,MATCH($L237,Settings!$B$11:$B$19,0)),"Yes")="No","",IF($M237="",IF($N237="","",$N237-TODAY()),IF($P237="","",$P237-TODAY()))))</f>
        <v/>
      </c>
      <c r="R237" s="37" t="str">
        <f aca="true">IF($D237="","",IF(IFERROR(INDEX(Settings!$C$11:$C$19,MATCH($L237,Settings!$B$11:$B$19,0)),"Yes")="No","CLOSED",IF($M237="",IF($N237="","ON TRACK",IF($N237&lt;TODAY(),"OVERDUE",IF($N237-TODAY()&lt;=Settings!$C$5,"DUE SOON","ON TRACK"))),IF($P237&lt;=TODAY(),"FOLLOW-UP DUE","ON TRACK"))))</f>
        <v/>
      </c>
      <c r="S237" s="35"/>
      <c r="T237" s="35"/>
      <c r="U237" s="38"/>
      <c r="V237" s="34"/>
      <c r="W237" s="35" t="str">
        <f aca="false">IF(OR($R237="OVERDUE",$R237="DUE SOON",$R237="FOLLOW-UP DUE"),MAX(W$3:W236)+1,"")</f>
        <v/>
      </c>
    </row>
    <row r="238" customFormat="false" ht="15" hidden="false" customHeight="false" outlineLevel="0" collapsed="false">
      <c r="A238" s="33" t="str">
        <f aca="false">IF($D238="","","JOB-"&amp;TEXT(ROW()-3,"000"))</f>
        <v/>
      </c>
      <c r="B238" s="34"/>
      <c r="C238" s="35"/>
      <c r="D238" s="35"/>
      <c r="E238" s="35"/>
      <c r="F238" s="35"/>
      <c r="G238" s="33"/>
      <c r="H238" s="35"/>
      <c r="I238" s="35"/>
      <c r="J238" s="35"/>
      <c r="K238" s="33"/>
      <c r="L238" s="33"/>
      <c r="M238" s="34"/>
      <c r="N238" s="34"/>
      <c r="O238" s="34"/>
      <c r="P238" s="34" t="str">
        <f aca="false">IF(OR($D238="",$M238=""),"",IF(IFERROR(INDEX(Settings!$C$11:$C$19,MATCH($L238,Settings!$B$11:$B$19,0)),"Yes")="No","",MAX($M238,$O238)+Settings!$C$6))</f>
        <v/>
      </c>
      <c r="Q238" s="36" t="str">
        <f aca="true">IF($D238="","",IF(IFERROR(INDEX(Settings!$C$11:$C$19,MATCH($L238,Settings!$B$11:$B$19,0)),"Yes")="No","",IF($M238="",IF($N238="","",$N238-TODAY()),IF($P238="","",$P238-TODAY()))))</f>
        <v/>
      </c>
      <c r="R238" s="37" t="str">
        <f aca="true">IF($D238="","",IF(IFERROR(INDEX(Settings!$C$11:$C$19,MATCH($L238,Settings!$B$11:$B$19,0)),"Yes")="No","CLOSED",IF($M238="",IF($N238="","ON TRACK",IF($N238&lt;TODAY(),"OVERDUE",IF($N238-TODAY()&lt;=Settings!$C$5,"DUE SOON","ON TRACK"))),IF($P238&lt;=TODAY(),"FOLLOW-UP DUE","ON TRACK"))))</f>
        <v/>
      </c>
      <c r="S238" s="35"/>
      <c r="T238" s="35"/>
      <c r="U238" s="38"/>
      <c r="V238" s="34"/>
      <c r="W238" s="35" t="str">
        <f aca="false">IF(OR($R238="OVERDUE",$R238="DUE SOON",$R238="FOLLOW-UP DUE"),MAX(W$3:W237)+1,"")</f>
        <v/>
      </c>
    </row>
    <row r="239" customFormat="false" ht="15" hidden="false" customHeight="false" outlineLevel="0" collapsed="false">
      <c r="A239" s="33" t="str">
        <f aca="false">IF($D239="","","JOB-"&amp;TEXT(ROW()-3,"000"))</f>
        <v/>
      </c>
      <c r="B239" s="34"/>
      <c r="C239" s="35"/>
      <c r="D239" s="35"/>
      <c r="E239" s="35"/>
      <c r="F239" s="35"/>
      <c r="G239" s="33"/>
      <c r="H239" s="35"/>
      <c r="I239" s="35"/>
      <c r="J239" s="35"/>
      <c r="K239" s="33"/>
      <c r="L239" s="33"/>
      <c r="M239" s="34"/>
      <c r="N239" s="34"/>
      <c r="O239" s="34"/>
      <c r="P239" s="34" t="str">
        <f aca="false">IF(OR($D239="",$M239=""),"",IF(IFERROR(INDEX(Settings!$C$11:$C$19,MATCH($L239,Settings!$B$11:$B$19,0)),"Yes")="No","",MAX($M239,$O239)+Settings!$C$6))</f>
        <v/>
      </c>
      <c r="Q239" s="36" t="str">
        <f aca="true">IF($D239="","",IF(IFERROR(INDEX(Settings!$C$11:$C$19,MATCH($L239,Settings!$B$11:$B$19,0)),"Yes")="No","",IF($M239="",IF($N239="","",$N239-TODAY()),IF($P239="","",$P239-TODAY()))))</f>
        <v/>
      </c>
      <c r="R239" s="37" t="str">
        <f aca="true">IF($D239="","",IF(IFERROR(INDEX(Settings!$C$11:$C$19,MATCH($L239,Settings!$B$11:$B$19,0)),"Yes")="No","CLOSED",IF($M239="",IF($N239="","ON TRACK",IF($N239&lt;TODAY(),"OVERDUE",IF($N239-TODAY()&lt;=Settings!$C$5,"DUE SOON","ON TRACK"))),IF($P239&lt;=TODAY(),"FOLLOW-UP DUE","ON TRACK"))))</f>
        <v/>
      </c>
      <c r="S239" s="35"/>
      <c r="T239" s="35"/>
      <c r="U239" s="38"/>
      <c r="V239" s="34"/>
      <c r="W239" s="35" t="str">
        <f aca="false">IF(OR($R239="OVERDUE",$R239="DUE SOON",$R239="FOLLOW-UP DUE"),MAX(W$3:W238)+1,"")</f>
        <v/>
      </c>
    </row>
    <row r="240" customFormat="false" ht="15" hidden="false" customHeight="false" outlineLevel="0" collapsed="false">
      <c r="A240" s="33" t="str">
        <f aca="false">IF($D240="","","JOB-"&amp;TEXT(ROW()-3,"000"))</f>
        <v/>
      </c>
      <c r="B240" s="34"/>
      <c r="C240" s="35"/>
      <c r="D240" s="35"/>
      <c r="E240" s="35"/>
      <c r="F240" s="35"/>
      <c r="G240" s="33"/>
      <c r="H240" s="35"/>
      <c r="I240" s="35"/>
      <c r="J240" s="35"/>
      <c r="K240" s="33"/>
      <c r="L240" s="33"/>
      <c r="M240" s="34"/>
      <c r="N240" s="34"/>
      <c r="O240" s="34"/>
      <c r="P240" s="34" t="str">
        <f aca="false">IF(OR($D240="",$M240=""),"",IF(IFERROR(INDEX(Settings!$C$11:$C$19,MATCH($L240,Settings!$B$11:$B$19,0)),"Yes")="No","",MAX($M240,$O240)+Settings!$C$6))</f>
        <v/>
      </c>
      <c r="Q240" s="36" t="str">
        <f aca="true">IF($D240="","",IF(IFERROR(INDEX(Settings!$C$11:$C$19,MATCH($L240,Settings!$B$11:$B$19,0)),"Yes")="No","",IF($M240="",IF($N240="","",$N240-TODAY()),IF($P240="","",$P240-TODAY()))))</f>
        <v/>
      </c>
      <c r="R240" s="37" t="str">
        <f aca="true">IF($D240="","",IF(IFERROR(INDEX(Settings!$C$11:$C$19,MATCH($L240,Settings!$B$11:$B$19,0)),"Yes")="No","CLOSED",IF($M240="",IF($N240="","ON TRACK",IF($N240&lt;TODAY(),"OVERDUE",IF($N240-TODAY()&lt;=Settings!$C$5,"DUE SOON","ON TRACK"))),IF($P240&lt;=TODAY(),"FOLLOW-UP DUE","ON TRACK"))))</f>
        <v/>
      </c>
      <c r="S240" s="35"/>
      <c r="T240" s="35"/>
      <c r="U240" s="38"/>
      <c r="V240" s="34"/>
      <c r="W240" s="35" t="str">
        <f aca="false">IF(OR($R240="OVERDUE",$R240="DUE SOON",$R240="FOLLOW-UP DUE"),MAX(W$3:W239)+1,"")</f>
        <v/>
      </c>
    </row>
    <row r="241" customFormat="false" ht="15" hidden="false" customHeight="false" outlineLevel="0" collapsed="false">
      <c r="A241" s="33" t="str">
        <f aca="false">IF($D241="","","JOB-"&amp;TEXT(ROW()-3,"000"))</f>
        <v/>
      </c>
      <c r="B241" s="34"/>
      <c r="C241" s="35"/>
      <c r="D241" s="35"/>
      <c r="E241" s="35"/>
      <c r="F241" s="35"/>
      <c r="G241" s="33"/>
      <c r="H241" s="35"/>
      <c r="I241" s="35"/>
      <c r="J241" s="35"/>
      <c r="K241" s="33"/>
      <c r="L241" s="33"/>
      <c r="M241" s="34"/>
      <c r="N241" s="34"/>
      <c r="O241" s="34"/>
      <c r="P241" s="34" t="str">
        <f aca="false">IF(OR($D241="",$M241=""),"",IF(IFERROR(INDEX(Settings!$C$11:$C$19,MATCH($L241,Settings!$B$11:$B$19,0)),"Yes")="No","",MAX($M241,$O241)+Settings!$C$6))</f>
        <v/>
      </c>
      <c r="Q241" s="36" t="str">
        <f aca="true">IF($D241="","",IF(IFERROR(INDEX(Settings!$C$11:$C$19,MATCH($L241,Settings!$B$11:$B$19,0)),"Yes")="No","",IF($M241="",IF($N241="","",$N241-TODAY()),IF($P241="","",$P241-TODAY()))))</f>
        <v/>
      </c>
      <c r="R241" s="37" t="str">
        <f aca="true">IF($D241="","",IF(IFERROR(INDEX(Settings!$C$11:$C$19,MATCH($L241,Settings!$B$11:$B$19,0)),"Yes")="No","CLOSED",IF($M241="",IF($N241="","ON TRACK",IF($N241&lt;TODAY(),"OVERDUE",IF($N241-TODAY()&lt;=Settings!$C$5,"DUE SOON","ON TRACK"))),IF($P241&lt;=TODAY(),"FOLLOW-UP DUE","ON TRACK"))))</f>
        <v/>
      </c>
      <c r="S241" s="35"/>
      <c r="T241" s="35"/>
      <c r="U241" s="38"/>
      <c r="V241" s="34"/>
      <c r="W241" s="35" t="str">
        <f aca="false">IF(OR($R241="OVERDUE",$R241="DUE SOON",$R241="FOLLOW-UP DUE"),MAX(W$3:W240)+1,"")</f>
        <v/>
      </c>
    </row>
    <row r="242" customFormat="false" ht="15" hidden="false" customHeight="false" outlineLevel="0" collapsed="false">
      <c r="A242" s="33" t="str">
        <f aca="false">IF($D242="","","JOB-"&amp;TEXT(ROW()-3,"000"))</f>
        <v/>
      </c>
      <c r="B242" s="34"/>
      <c r="C242" s="35"/>
      <c r="D242" s="35"/>
      <c r="E242" s="35"/>
      <c r="F242" s="35"/>
      <c r="G242" s="33"/>
      <c r="H242" s="35"/>
      <c r="I242" s="35"/>
      <c r="J242" s="35"/>
      <c r="K242" s="33"/>
      <c r="L242" s="33"/>
      <c r="M242" s="34"/>
      <c r="N242" s="34"/>
      <c r="O242" s="34"/>
      <c r="P242" s="34" t="str">
        <f aca="false">IF(OR($D242="",$M242=""),"",IF(IFERROR(INDEX(Settings!$C$11:$C$19,MATCH($L242,Settings!$B$11:$B$19,0)),"Yes")="No","",MAX($M242,$O242)+Settings!$C$6))</f>
        <v/>
      </c>
      <c r="Q242" s="36" t="str">
        <f aca="true">IF($D242="","",IF(IFERROR(INDEX(Settings!$C$11:$C$19,MATCH($L242,Settings!$B$11:$B$19,0)),"Yes")="No","",IF($M242="",IF($N242="","",$N242-TODAY()),IF($P242="","",$P242-TODAY()))))</f>
        <v/>
      </c>
      <c r="R242" s="37" t="str">
        <f aca="true">IF($D242="","",IF(IFERROR(INDEX(Settings!$C$11:$C$19,MATCH($L242,Settings!$B$11:$B$19,0)),"Yes")="No","CLOSED",IF($M242="",IF($N242="","ON TRACK",IF($N242&lt;TODAY(),"OVERDUE",IF($N242-TODAY()&lt;=Settings!$C$5,"DUE SOON","ON TRACK"))),IF($P242&lt;=TODAY(),"FOLLOW-UP DUE","ON TRACK"))))</f>
        <v/>
      </c>
      <c r="S242" s="35"/>
      <c r="T242" s="35"/>
      <c r="U242" s="38"/>
      <c r="V242" s="34"/>
      <c r="W242" s="35" t="str">
        <f aca="false">IF(OR($R242="OVERDUE",$R242="DUE SOON",$R242="FOLLOW-UP DUE"),MAX(W$3:W241)+1,"")</f>
        <v/>
      </c>
    </row>
    <row r="243" customFormat="false" ht="15" hidden="false" customHeight="false" outlineLevel="0" collapsed="false">
      <c r="A243" s="33" t="str">
        <f aca="false">IF($D243="","","JOB-"&amp;TEXT(ROW()-3,"000"))</f>
        <v/>
      </c>
      <c r="B243" s="34"/>
      <c r="C243" s="35"/>
      <c r="D243" s="35"/>
      <c r="E243" s="35"/>
      <c r="F243" s="35"/>
      <c r="G243" s="33"/>
      <c r="H243" s="35"/>
      <c r="I243" s="35"/>
      <c r="J243" s="35"/>
      <c r="K243" s="33"/>
      <c r="L243" s="33"/>
      <c r="M243" s="34"/>
      <c r="N243" s="34"/>
      <c r="O243" s="34"/>
      <c r="P243" s="34" t="str">
        <f aca="false">IF(OR($D243="",$M243=""),"",IF(IFERROR(INDEX(Settings!$C$11:$C$19,MATCH($L243,Settings!$B$11:$B$19,0)),"Yes")="No","",MAX($M243,$O243)+Settings!$C$6))</f>
        <v/>
      </c>
      <c r="Q243" s="36" t="str">
        <f aca="true">IF($D243="","",IF(IFERROR(INDEX(Settings!$C$11:$C$19,MATCH($L243,Settings!$B$11:$B$19,0)),"Yes")="No","",IF($M243="",IF($N243="","",$N243-TODAY()),IF($P243="","",$P243-TODAY()))))</f>
        <v/>
      </c>
      <c r="R243" s="37" t="str">
        <f aca="true">IF($D243="","",IF(IFERROR(INDEX(Settings!$C$11:$C$19,MATCH($L243,Settings!$B$11:$B$19,0)),"Yes")="No","CLOSED",IF($M243="",IF($N243="","ON TRACK",IF($N243&lt;TODAY(),"OVERDUE",IF($N243-TODAY()&lt;=Settings!$C$5,"DUE SOON","ON TRACK"))),IF($P243&lt;=TODAY(),"FOLLOW-UP DUE","ON TRACK"))))</f>
        <v/>
      </c>
      <c r="S243" s="35"/>
      <c r="T243" s="35"/>
      <c r="U243" s="38"/>
      <c r="V243" s="34"/>
      <c r="W243" s="35" t="str">
        <f aca="false">IF(OR($R243="OVERDUE",$R243="DUE SOON",$R243="FOLLOW-UP DUE"),MAX(W$3:W242)+1,"")</f>
        <v/>
      </c>
    </row>
    <row r="244" customFormat="false" ht="15" hidden="false" customHeight="false" outlineLevel="0" collapsed="false">
      <c r="A244" s="33" t="str">
        <f aca="false">IF($D244="","","JOB-"&amp;TEXT(ROW()-3,"000"))</f>
        <v/>
      </c>
      <c r="B244" s="34"/>
      <c r="C244" s="35"/>
      <c r="D244" s="35"/>
      <c r="E244" s="35"/>
      <c r="F244" s="35"/>
      <c r="G244" s="33"/>
      <c r="H244" s="35"/>
      <c r="I244" s="35"/>
      <c r="J244" s="35"/>
      <c r="K244" s="33"/>
      <c r="L244" s="33"/>
      <c r="M244" s="34"/>
      <c r="N244" s="34"/>
      <c r="O244" s="34"/>
      <c r="P244" s="34" t="str">
        <f aca="false">IF(OR($D244="",$M244=""),"",IF(IFERROR(INDEX(Settings!$C$11:$C$19,MATCH($L244,Settings!$B$11:$B$19,0)),"Yes")="No","",MAX($M244,$O244)+Settings!$C$6))</f>
        <v/>
      </c>
      <c r="Q244" s="36" t="str">
        <f aca="true">IF($D244="","",IF(IFERROR(INDEX(Settings!$C$11:$C$19,MATCH($L244,Settings!$B$11:$B$19,0)),"Yes")="No","",IF($M244="",IF($N244="","",$N244-TODAY()),IF($P244="","",$P244-TODAY()))))</f>
        <v/>
      </c>
      <c r="R244" s="37" t="str">
        <f aca="true">IF($D244="","",IF(IFERROR(INDEX(Settings!$C$11:$C$19,MATCH($L244,Settings!$B$11:$B$19,0)),"Yes")="No","CLOSED",IF($M244="",IF($N244="","ON TRACK",IF($N244&lt;TODAY(),"OVERDUE",IF($N244-TODAY()&lt;=Settings!$C$5,"DUE SOON","ON TRACK"))),IF($P244&lt;=TODAY(),"FOLLOW-UP DUE","ON TRACK"))))</f>
        <v/>
      </c>
      <c r="S244" s="35"/>
      <c r="T244" s="35"/>
      <c r="U244" s="38"/>
      <c r="V244" s="34"/>
      <c r="W244" s="35" t="str">
        <f aca="false">IF(OR($R244="OVERDUE",$R244="DUE SOON",$R244="FOLLOW-UP DUE"),MAX(W$3:W243)+1,"")</f>
        <v/>
      </c>
    </row>
    <row r="245" customFormat="false" ht="15" hidden="false" customHeight="false" outlineLevel="0" collapsed="false">
      <c r="A245" s="33" t="str">
        <f aca="false">IF($D245="","","JOB-"&amp;TEXT(ROW()-3,"000"))</f>
        <v/>
      </c>
      <c r="B245" s="34"/>
      <c r="C245" s="35"/>
      <c r="D245" s="35"/>
      <c r="E245" s="35"/>
      <c r="F245" s="35"/>
      <c r="G245" s="33"/>
      <c r="H245" s="35"/>
      <c r="I245" s="35"/>
      <c r="J245" s="35"/>
      <c r="K245" s="33"/>
      <c r="L245" s="33"/>
      <c r="M245" s="34"/>
      <c r="N245" s="34"/>
      <c r="O245" s="34"/>
      <c r="P245" s="34" t="str">
        <f aca="false">IF(OR($D245="",$M245=""),"",IF(IFERROR(INDEX(Settings!$C$11:$C$19,MATCH($L245,Settings!$B$11:$B$19,0)),"Yes")="No","",MAX($M245,$O245)+Settings!$C$6))</f>
        <v/>
      </c>
      <c r="Q245" s="36" t="str">
        <f aca="true">IF($D245="","",IF(IFERROR(INDEX(Settings!$C$11:$C$19,MATCH($L245,Settings!$B$11:$B$19,0)),"Yes")="No","",IF($M245="",IF($N245="","",$N245-TODAY()),IF($P245="","",$P245-TODAY()))))</f>
        <v/>
      </c>
      <c r="R245" s="37" t="str">
        <f aca="true">IF($D245="","",IF(IFERROR(INDEX(Settings!$C$11:$C$19,MATCH($L245,Settings!$B$11:$B$19,0)),"Yes")="No","CLOSED",IF($M245="",IF($N245="","ON TRACK",IF($N245&lt;TODAY(),"OVERDUE",IF($N245-TODAY()&lt;=Settings!$C$5,"DUE SOON","ON TRACK"))),IF($P245&lt;=TODAY(),"FOLLOW-UP DUE","ON TRACK"))))</f>
        <v/>
      </c>
      <c r="S245" s="35"/>
      <c r="T245" s="35"/>
      <c r="U245" s="38"/>
      <c r="V245" s="34"/>
      <c r="W245" s="35" t="str">
        <f aca="false">IF(OR($R245="OVERDUE",$R245="DUE SOON",$R245="FOLLOW-UP DUE"),MAX(W$3:W244)+1,"")</f>
        <v/>
      </c>
    </row>
    <row r="246" customFormat="false" ht="15" hidden="false" customHeight="false" outlineLevel="0" collapsed="false">
      <c r="A246" s="33" t="str">
        <f aca="false">IF($D246="","","JOB-"&amp;TEXT(ROW()-3,"000"))</f>
        <v/>
      </c>
      <c r="B246" s="34"/>
      <c r="C246" s="35"/>
      <c r="D246" s="35"/>
      <c r="E246" s="35"/>
      <c r="F246" s="35"/>
      <c r="G246" s="33"/>
      <c r="H246" s="35"/>
      <c r="I246" s="35"/>
      <c r="J246" s="35"/>
      <c r="K246" s="33"/>
      <c r="L246" s="33"/>
      <c r="M246" s="34"/>
      <c r="N246" s="34"/>
      <c r="O246" s="34"/>
      <c r="P246" s="34" t="str">
        <f aca="false">IF(OR($D246="",$M246=""),"",IF(IFERROR(INDEX(Settings!$C$11:$C$19,MATCH($L246,Settings!$B$11:$B$19,0)),"Yes")="No","",MAX($M246,$O246)+Settings!$C$6))</f>
        <v/>
      </c>
      <c r="Q246" s="36" t="str">
        <f aca="true">IF($D246="","",IF(IFERROR(INDEX(Settings!$C$11:$C$19,MATCH($L246,Settings!$B$11:$B$19,0)),"Yes")="No","",IF($M246="",IF($N246="","",$N246-TODAY()),IF($P246="","",$P246-TODAY()))))</f>
        <v/>
      </c>
      <c r="R246" s="37" t="str">
        <f aca="true">IF($D246="","",IF(IFERROR(INDEX(Settings!$C$11:$C$19,MATCH($L246,Settings!$B$11:$B$19,0)),"Yes")="No","CLOSED",IF($M246="",IF($N246="","ON TRACK",IF($N246&lt;TODAY(),"OVERDUE",IF($N246-TODAY()&lt;=Settings!$C$5,"DUE SOON","ON TRACK"))),IF($P246&lt;=TODAY(),"FOLLOW-UP DUE","ON TRACK"))))</f>
        <v/>
      </c>
      <c r="S246" s="35"/>
      <c r="T246" s="35"/>
      <c r="U246" s="38"/>
      <c r="V246" s="34"/>
      <c r="W246" s="35" t="str">
        <f aca="false">IF(OR($R246="OVERDUE",$R246="DUE SOON",$R246="FOLLOW-UP DUE"),MAX(W$3:W245)+1,"")</f>
        <v/>
      </c>
    </row>
    <row r="247" customFormat="false" ht="15" hidden="false" customHeight="false" outlineLevel="0" collapsed="false">
      <c r="A247" s="33" t="str">
        <f aca="false">IF($D247="","","JOB-"&amp;TEXT(ROW()-3,"000"))</f>
        <v/>
      </c>
      <c r="B247" s="34"/>
      <c r="C247" s="35"/>
      <c r="D247" s="35"/>
      <c r="E247" s="35"/>
      <c r="F247" s="35"/>
      <c r="G247" s="33"/>
      <c r="H247" s="35"/>
      <c r="I247" s="35"/>
      <c r="J247" s="35"/>
      <c r="K247" s="33"/>
      <c r="L247" s="33"/>
      <c r="M247" s="34"/>
      <c r="N247" s="34"/>
      <c r="O247" s="34"/>
      <c r="P247" s="34" t="str">
        <f aca="false">IF(OR($D247="",$M247=""),"",IF(IFERROR(INDEX(Settings!$C$11:$C$19,MATCH($L247,Settings!$B$11:$B$19,0)),"Yes")="No","",MAX($M247,$O247)+Settings!$C$6))</f>
        <v/>
      </c>
      <c r="Q247" s="36" t="str">
        <f aca="true">IF($D247="","",IF(IFERROR(INDEX(Settings!$C$11:$C$19,MATCH($L247,Settings!$B$11:$B$19,0)),"Yes")="No","",IF($M247="",IF($N247="","",$N247-TODAY()),IF($P247="","",$P247-TODAY()))))</f>
        <v/>
      </c>
      <c r="R247" s="37" t="str">
        <f aca="true">IF($D247="","",IF(IFERROR(INDEX(Settings!$C$11:$C$19,MATCH($L247,Settings!$B$11:$B$19,0)),"Yes")="No","CLOSED",IF($M247="",IF($N247="","ON TRACK",IF($N247&lt;TODAY(),"OVERDUE",IF($N247-TODAY()&lt;=Settings!$C$5,"DUE SOON","ON TRACK"))),IF($P247&lt;=TODAY(),"FOLLOW-UP DUE","ON TRACK"))))</f>
        <v/>
      </c>
      <c r="S247" s="35"/>
      <c r="T247" s="35"/>
      <c r="U247" s="38"/>
      <c r="V247" s="34"/>
      <c r="W247" s="35" t="str">
        <f aca="false">IF(OR($R247="OVERDUE",$R247="DUE SOON",$R247="FOLLOW-UP DUE"),MAX(W$3:W246)+1,"")</f>
        <v/>
      </c>
    </row>
    <row r="248" customFormat="false" ht="15" hidden="false" customHeight="false" outlineLevel="0" collapsed="false">
      <c r="A248" s="33" t="str">
        <f aca="false">IF($D248="","","JOB-"&amp;TEXT(ROW()-3,"000"))</f>
        <v/>
      </c>
      <c r="B248" s="34"/>
      <c r="C248" s="35"/>
      <c r="D248" s="35"/>
      <c r="E248" s="35"/>
      <c r="F248" s="35"/>
      <c r="G248" s="33"/>
      <c r="H248" s="35"/>
      <c r="I248" s="35"/>
      <c r="J248" s="35"/>
      <c r="K248" s="33"/>
      <c r="L248" s="33"/>
      <c r="M248" s="34"/>
      <c r="N248" s="34"/>
      <c r="O248" s="34"/>
      <c r="P248" s="34" t="str">
        <f aca="false">IF(OR($D248="",$M248=""),"",IF(IFERROR(INDEX(Settings!$C$11:$C$19,MATCH($L248,Settings!$B$11:$B$19,0)),"Yes")="No","",MAX($M248,$O248)+Settings!$C$6))</f>
        <v/>
      </c>
      <c r="Q248" s="36" t="str">
        <f aca="true">IF($D248="","",IF(IFERROR(INDEX(Settings!$C$11:$C$19,MATCH($L248,Settings!$B$11:$B$19,0)),"Yes")="No","",IF($M248="",IF($N248="","",$N248-TODAY()),IF($P248="","",$P248-TODAY()))))</f>
        <v/>
      </c>
      <c r="R248" s="37" t="str">
        <f aca="true">IF($D248="","",IF(IFERROR(INDEX(Settings!$C$11:$C$19,MATCH($L248,Settings!$B$11:$B$19,0)),"Yes")="No","CLOSED",IF($M248="",IF($N248="","ON TRACK",IF($N248&lt;TODAY(),"OVERDUE",IF($N248-TODAY()&lt;=Settings!$C$5,"DUE SOON","ON TRACK"))),IF($P248&lt;=TODAY(),"FOLLOW-UP DUE","ON TRACK"))))</f>
        <v/>
      </c>
      <c r="S248" s="35"/>
      <c r="T248" s="35"/>
      <c r="U248" s="38"/>
      <c r="V248" s="34"/>
      <c r="W248" s="35" t="str">
        <f aca="false">IF(OR($R248="OVERDUE",$R248="DUE SOON",$R248="FOLLOW-UP DUE"),MAX(W$3:W247)+1,"")</f>
        <v/>
      </c>
    </row>
    <row r="249" customFormat="false" ht="15" hidden="false" customHeight="false" outlineLevel="0" collapsed="false">
      <c r="A249" s="33" t="str">
        <f aca="false">IF($D249="","","JOB-"&amp;TEXT(ROW()-3,"000"))</f>
        <v/>
      </c>
      <c r="B249" s="34"/>
      <c r="C249" s="35"/>
      <c r="D249" s="35"/>
      <c r="E249" s="35"/>
      <c r="F249" s="35"/>
      <c r="G249" s="33"/>
      <c r="H249" s="35"/>
      <c r="I249" s="35"/>
      <c r="J249" s="35"/>
      <c r="K249" s="33"/>
      <c r="L249" s="33"/>
      <c r="M249" s="34"/>
      <c r="N249" s="34"/>
      <c r="O249" s="34"/>
      <c r="P249" s="34" t="str">
        <f aca="false">IF(OR($D249="",$M249=""),"",IF(IFERROR(INDEX(Settings!$C$11:$C$19,MATCH($L249,Settings!$B$11:$B$19,0)),"Yes")="No","",MAX($M249,$O249)+Settings!$C$6))</f>
        <v/>
      </c>
      <c r="Q249" s="36" t="str">
        <f aca="true">IF($D249="","",IF(IFERROR(INDEX(Settings!$C$11:$C$19,MATCH($L249,Settings!$B$11:$B$19,0)),"Yes")="No","",IF($M249="",IF($N249="","",$N249-TODAY()),IF($P249="","",$P249-TODAY()))))</f>
        <v/>
      </c>
      <c r="R249" s="37" t="str">
        <f aca="true">IF($D249="","",IF(IFERROR(INDEX(Settings!$C$11:$C$19,MATCH($L249,Settings!$B$11:$B$19,0)),"Yes")="No","CLOSED",IF($M249="",IF($N249="","ON TRACK",IF($N249&lt;TODAY(),"OVERDUE",IF($N249-TODAY()&lt;=Settings!$C$5,"DUE SOON","ON TRACK"))),IF($P249&lt;=TODAY(),"FOLLOW-UP DUE","ON TRACK"))))</f>
        <v/>
      </c>
      <c r="S249" s="35"/>
      <c r="T249" s="35"/>
      <c r="U249" s="38"/>
      <c r="V249" s="34"/>
      <c r="W249" s="35" t="str">
        <f aca="false">IF(OR($R249="OVERDUE",$R249="DUE SOON",$R249="FOLLOW-UP DUE"),MAX(W$3:W248)+1,"")</f>
        <v/>
      </c>
    </row>
    <row r="250" customFormat="false" ht="15" hidden="false" customHeight="false" outlineLevel="0" collapsed="false">
      <c r="A250" s="33" t="str">
        <f aca="false">IF($D250="","","JOB-"&amp;TEXT(ROW()-3,"000"))</f>
        <v/>
      </c>
      <c r="B250" s="34"/>
      <c r="C250" s="35"/>
      <c r="D250" s="35"/>
      <c r="E250" s="35"/>
      <c r="F250" s="35"/>
      <c r="G250" s="33"/>
      <c r="H250" s="35"/>
      <c r="I250" s="35"/>
      <c r="J250" s="35"/>
      <c r="K250" s="33"/>
      <c r="L250" s="33"/>
      <c r="M250" s="34"/>
      <c r="N250" s="34"/>
      <c r="O250" s="34"/>
      <c r="P250" s="34" t="str">
        <f aca="false">IF(OR($D250="",$M250=""),"",IF(IFERROR(INDEX(Settings!$C$11:$C$19,MATCH($L250,Settings!$B$11:$B$19,0)),"Yes")="No","",MAX($M250,$O250)+Settings!$C$6))</f>
        <v/>
      </c>
      <c r="Q250" s="36" t="str">
        <f aca="true">IF($D250="","",IF(IFERROR(INDEX(Settings!$C$11:$C$19,MATCH($L250,Settings!$B$11:$B$19,0)),"Yes")="No","",IF($M250="",IF($N250="","",$N250-TODAY()),IF($P250="","",$P250-TODAY()))))</f>
        <v/>
      </c>
      <c r="R250" s="37" t="str">
        <f aca="true">IF($D250="","",IF(IFERROR(INDEX(Settings!$C$11:$C$19,MATCH($L250,Settings!$B$11:$B$19,0)),"Yes")="No","CLOSED",IF($M250="",IF($N250="","ON TRACK",IF($N250&lt;TODAY(),"OVERDUE",IF($N250-TODAY()&lt;=Settings!$C$5,"DUE SOON","ON TRACK"))),IF($P250&lt;=TODAY(),"FOLLOW-UP DUE","ON TRACK"))))</f>
        <v/>
      </c>
      <c r="S250" s="35"/>
      <c r="T250" s="35"/>
      <c r="U250" s="38"/>
      <c r="V250" s="34"/>
      <c r="W250" s="35" t="str">
        <f aca="false">IF(OR($R250="OVERDUE",$R250="DUE SOON",$R250="FOLLOW-UP DUE"),MAX(W$3:W249)+1,"")</f>
        <v/>
      </c>
    </row>
    <row r="251" customFormat="false" ht="15" hidden="false" customHeight="false" outlineLevel="0" collapsed="false">
      <c r="A251" s="33" t="str">
        <f aca="false">IF($D251="","","JOB-"&amp;TEXT(ROW()-3,"000"))</f>
        <v/>
      </c>
      <c r="B251" s="34"/>
      <c r="C251" s="35"/>
      <c r="D251" s="35"/>
      <c r="E251" s="35"/>
      <c r="F251" s="35"/>
      <c r="G251" s="33"/>
      <c r="H251" s="35"/>
      <c r="I251" s="35"/>
      <c r="J251" s="35"/>
      <c r="K251" s="33"/>
      <c r="L251" s="33"/>
      <c r="M251" s="34"/>
      <c r="N251" s="34"/>
      <c r="O251" s="34"/>
      <c r="P251" s="34" t="str">
        <f aca="false">IF(OR($D251="",$M251=""),"",IF(IFERROR(INDEX(Settings!$C$11:$C$19,MATCH($L251,Settings!$B$11:$B$19,0)),"Yes")="No","",MAX($M251,$O251)+Settings!$C$6))</f>
        <v/>
      </c>
      <c r="Q251" s="36" t="str">
        <f aca="true">IF($D251="","",IF(IFERROR(INDEX(Settings!$C$11:$C$19,MATCH($L251,Settings!$B$11:$B$19,0)),"Yes")="No","",IF($M251="",IF($N251="","",$N251-TODAY()),IF($P251="","",$P251-TODAY()))))</f>
        <v/>
      </c>
      <c r="R251" s="37" t="str">
        <f aca="true">IF($D251="","",IF(IFERROR(INDEX(Settings!$C$11:$C$19,MATCH($L251,Settings!$B$11:$B$19,0)),"Yes")="No","CLOSED",IF($M251="",IF($N251="","ON TRACK",IF($N251&lt;TODAY(),"OVERDUE",IF($N251-TODAY()&lt;=Settings!$C$5,"DUE SOON","ON TRACK"))),IF($P251&lt;=TODAY(),"FOLLOW-UP DUE","ON TRACK"))))</f>
        <v/>
      </c>
      <c r="S251" s="35"/>
      <c r="T251" s="35"/>
      <c r="U251" s="38"/>
      <c r="V251" s="34"/>
      <c r="W251" s="35" t="str">
        <f aca="false">IF(OR($R251="OVERDUE",$R251="DUE SOON",$R251="FOLLOW-UP DUE"),MAX(W$3:W250)+1,"")</f>
        <v/>
      </c>
    </row>
    <row r="252" customFormat="false" ht="15" hidden="false" customHeight="false" outlineLevel="0" collapsed="false">
      <c r="A252" s="33" t="str">
        <f aca="false">IF($D252="","","JOB-"&amp;TEXT(ROW()-3,"000"))</f>
        <v/>
      </c>
      <c r="B252" s="34"/>
      <c r="C252" s="35"/>
      <c r="D252" s="35"/>
      <c r="E252" s="35"/>
      <c r="F252" s="35"/>
      <c r="G252" s="33"/>
      <c r="H252" s="35"/>
      <c r="I252" s="35"/>
      <c r="J252" s="35"/>
      <c r="K252" s="33"/>
      <c r="L252" s="33"/>
      <c r="M252" s="34"/>
      <c r="N252" s="34"/>
      <c r="O252" s="34"/>
      <c r="P252" s="34" t="str">
        <f aca="false">IF(OR($D252="",$M252=""),"",IF(IFERROR(INDEX(Settings!$C$11:$C$19,MATCH($L252,Settings!$B$11:$B$19,0)),"Yes")="No","",MAX($M252,$O252)+Settings!$C$6))</f>
        <v/>
      </c>
      <c r="Q252" s="36" t="str">
        <f aca="true">IF($D252="","",IF(IFERROR(INDEX(Settings!$C$11:$C$19,MATCH($L252,Settings!$B$11:$B$19,0)),"Yes")="No","",IF($M252="",IF($N252="","",$N252-TODAY()),IF($P252="","",$P252-TODAY()))))</f>
        <v/>
      </c>
      <c r="R252" s="37" t="str">
        <f aca="true">IF($D252="","",IF(IFERROR(INDEX(Settings!$C$11:$C$19,MATCH($L252,Settings!$B$11:$B$19,0)),"Yes")="No","CLOSED",IF($M252="",IF($N252="","ON TRACK",IF($N252&lt;TODAY(),"OVERDUE",IF($N252-TODAY()&lt;=Settings!$C$5,"DUE SOON","ON TRACK"))),IF($P252&lt;=TODAY(),"FOLLOW-UP DUE","ON TRACK"))))</f>
        <v/>
      </c>
      <c r="S252" s="35"/>
      <c r="T252" s="35"/>
      <c r="U252" s="38"/>
      <c r="V252" s="34"/>
      <c r="W252" s="35" t="str">
        <f aca="false">IF(OR($R252="OVERDUE",$R252="DUE SOON",$R252="FOLLOW-UP DUE"),MAX(W$3:W251)+1,"")</f>
        <v/>
      </c>
    </row>
    <row r="253" customFormat="false" ht="15" hidden="false" customHeight="false" outlineLevel="0" collapsed="false">
      <c r="A253" s="33" t="str">
        <f aca="false">IF($D253="","","JOB-"&amp;TEXT(ROW()-3,"000"))</f>
        <v/>
      </c>
      <c r="B253" s="34"/>
      <c r="C253" s="35"/>
      <c r="D253" s="35"/>
      <c r="E253" s="35"/>
      <c r="F253" s="35"/>
      <c r="G253" s="33"/>
      <c r="H253" s="35"/>
      <c r="I253" s="35"/>
      <c r="J253" s="35"/>
      <c r="K253" s="33"/>
      <c r="L253" s="33"/>
      <c r="M253" s="34"/>
      <c r="N253" s="34"/>
      <c r="O253" s="34"/>
      <c r="P253" s="34" t="str">
        <f aca="false">IF(OR($D253="",$M253=""),"",IF(IFERROR(INDEX(Settings!$C$11:$C$19,MATCH($L253,Settings!$B$11:$B$19,0)),"Yes")="No","",MAX($M253,$O253)+Settings!$C$6))</f>
        <v/>
      </c>
      <c r="Q253" s="36" t="str">
        <f aca="true">IF($D253="","",IF(IFERROR(INDEX(Settings!$C$11:$C$19,MATCH($L253,Settings!$B$11:$B$19,0)),"Yes")="No","",IF($M253="",IF($N253="","",$N253-TODAY()),IF($P253="","",$P253-TODAY()))))</f>
        <v/>
      </c>
      <c r="R253" s="37" t="str">
        <f aca="true">IF($D253="","",IF(IFERROR(INDEX(Settings!$C$11:$C$19,MATCH($L253,Settings!$B$11:$B$19,0)),"Yes")="No","CLOSED",IF($M253="",IF($N253="","ON TRACK",IF($N253&lt;TODAY(),"OVERDUE",IF($N253-TODAY()&lt;=Settings!$C$5,"DUE SOON","ON TRACK"))),IF($P253&lt;=TODAY(),"FOLLOW-UP DUE","ON TRACK"))))</f>
        <v/>
      </c>
      <c r="S253" s="35"/>
      <c r="T253" s="35"/>
      <c r="U253" s="38"/>
      <c r="V253" s="34"/>
      <c r="W253" s="35" t="str">
        <f aca="false">IF(OR($R253="OVERDUE",$R253="DUE SOON",$R253="FOLLOW-UP DUE"),MAX(W$3:W252)+1,"")</f>
        <v/>
      </c>
    </row>
    <row r="254" customFormat="false" ht="15" hidden="false" customHeight="false" outlineLevel="0" collapsed="false">
      <c r="A254" s="33" t="str">
        <f aca="false">IF($D254="","","JOB-"&amp;TEXT(ROW()-3,"000"))</f>
        <v/>
      </c>
      <c r="B254" s="34"/>
      <c r="C254" s="35"/>
      <c r="D254" s="35"/>
      <c r="E254" s="35"/>
      <c r="F254" s="35"/>
      <c r="G254" s="33"/>
      <c r="H254" s="35"/>
      <c r="I254" s="35"/>
      <c r="J254" s="35"/>
      <c r="K254" s="33"/>
      <c r="L254" s="33"/>
      <c r="M254" s="34"/>
      <c r="N254" s="34"/>
      <c r="O254" s="34"/>
      <c r="P254" s="34" t="str">
        <f aca="false">IF(OR($D254="",$M254=""),"",IF(IFERROR(INDEX(Settings!$C$11:$C$19,MATCH($L254,Settings!$B$11:$B$19,0)),"Yes")="No","",MAX($M254,$O254)+Settings!$C$6))</f>
        <v/>
      </c>
      <c r="Q254" s="36" t="str">
        <f aca="true">IF($D254="","",IF(IFERROR(INDEX(Settings!$C$11:$C$19,MATCH($L254,Settings!$B$11:$B$19,0)),"Yes")="No","",IF($M254="",IF($N254="","",$N254-TODAY()),IF($P254="","",$P254-TODAY()))))</f>
        <v/>
      </c>
      <c r="R254" s="37" t="str">
        <f aca="true">IF($D254="","",IF(IFERROR(INDEX(Settings!$C$11:$C$19,MATCH($L254,Settings!$B$11:$B$19,0)),"Yes")="No","CLOSED",IF($M254="",IF($N254="","ON TRACK",IF($N254&lt;TODAY(),"OVERDUE",IF($N254-TODAY()&lt;=Settings!$C$5,"DUE SOON","ON TRACK"))),IF($P254&lt;=TODAY(),"FOLLOW-UP DUE","ON TRACK"))))</f>
        <v/>
      </c>
      <c r="S254" s="35"/>
      <c r="T254" s="35"/>
      <c r="U254" s="38"/>
      <c r="V254" s="34"/>
      <c r="W254" s="35" t="str">
        <f aca="false">IF(OR($R254="OVERDUE",$R254="DUE SOON",$R254="FOLLOW-UP DUE"),MAX(W$3:W253)+1,"")</f>
        <v/>
      </c>
    </row>
    <row r="255" customFormat="false" ht="15" hidden="false" customHeight="false" outlineLevel="0" collapsed="false">
      <c r="A255" s="33" t="str">
        <f aca="false">IF($D255="","","JOB-"&amp;TEXT(ROW()-3,"000"))</f>
        <v/>
      </c>
      <c r="B255" s="34"/>
      <c r="C255" s="35"/>
      <c r="D255" s="35"/>
      <c r="E255" s="35"/>
      <c r="F255" s="35"/>
      <c r="G255" s="33"/>
      <c r="H255" s="35"/>
      <c r="I255" s="35"/>
      <c r="J255" s="35"/>
      <c r="K255" s="33"/>
      <c r="L255" s="33"/>
      <c r="M255" s="34"/>
      <c r="N255" s="34"/>
      <c r="O255" s="34"/>
      <c r="P255" s="34" t="str">
        <f aca="false">IF(OR($D255="",$M255=""),"",IF(IFERROR(INDEX(Settings!$C$11:$C$19,MATCH($L255,Settings!$B$11:$B$19,0)),"Yes")="No","",MAX($M255,$O255)+Settings!$C$6))</f>
        <v/>
      </c>
      <c r="Q255" s="36" t="str">
        <f aca="true">IF($D255="","",IF(IFERROR(INDEX(Settings!$C$11:$C$19,MATCH($L255,Settings!$B$11:$B$19,0)),"Yes")="No","",IF($M255="",IF($N255="","",$N255-TODAY()),IF($P255="","",$P255-TODAY()))))</f>
        <v/>
      </c>
      <c r="R255" s="37" t="str">
        <f aca="true">IF($D255="","",IF(IFERROR(INDEX(Settings!$C$11:$C$19,MATCH($L255,Settings!$B$11:$B$19,0)),"Yes")="No","CLOSED",IF($M255="",IF($N255="","ON TRACK",IF($N255&lt;TODAY(),"OVERDUE",IF($N255-TODAY()&lt;=Settings!$C$5,"DUE SOON","ON TRACK"))),IF($P255&lt;=TODAY(),"FOLLOW-UP DUE","ON TRACK"))))</f>
        <v/>
      </c>
      <c r="S255" s="35"/>
      <c r="T255" s="35"/>
      <c r="U255" s="38"/>
      <c r="V255" s="34"/>
      <c r="W255" s="35" t="str">
        <f aca="false">IF(OR($R255="OVERDUE",$R255="DUE SOON",$R255="FOLLOW-UP DUE"),MAX(W$3:W254)+1,"")</f>
        <v/>
      </c>
    </row>
    <row r="256" customFormat="false" ht="15" hidden="false" customHeight="false" outlineLevel="0" collapsed="false">
      <c r="A256" s="33" t="str">
        <f aca="false">IF($D256="","","JOB-"&amp;TEXT(ROW()-3,"000"))</f>
        <v/>
      </c>
      <c r="B256" s="34"/>
      <c r="C256" s="35"/>
      <c r="D256" s="35"/>
      <c r="E256" s="35"/>
      <c r="F256" s="35"/>
      <c r="G256" s="33"/>
      <c r="H256" s="35"/>
      <c r="I256" s="35"/>
      <c r="J256" s="35"/>
      <c r="K256" s="33"/>
      <c r="L256" s="33"/>
      <c r="M256" s="34"/>
      <c r="N256" s="34"/>
      <c r="O256" s="34"/>
      <c r="P256" s="34" t="str">
        <f aca="false">IF(OR($D256="",$M256=""),"",IF(IFERROR(INDEX(Settings!$C$11:$C$19,MATCH($L256,Settings!$B$11:$B$19,0)),"Yes")="No","",MAX($M256,$O256)+Settings!$C$6))</f>
        <v/>
      </c>
      <c r="Q256" s="36" t="str">
        <f aca="true">IF($D256="","",IF(IFERROR(INDEX(Settings!$C$11:$C$19,MATCH($L256,Settings!$B$11:$B$19,0)),"Yes")="No","",IF($M256="",IF($N256="","",$N256-TODAY()),IF($P256="","",$P256-TODAY()))))</f>
        <v/>
      </c>
      <c r="R256" s="37" t="str">
        <f aca="true">IF($D256="","",IF(IFERROR(INDEX(Settings!$C$11:$C$19,MATCH($L256,Settings!$B$11:$B$19,0)),"Yes")="No","CLOSED",IF($M256="",IF($N256="","ON TRACK",IF($N256&lt;TODAY(),"OVERDUE",IF($N256-TODAY()&lt;=Settings!$C$5,"DUE SOON","ON TRACK"))),IF($P256&lt;=TODAY(),"FOLLOW-UP DUE","ON TRACK"))))</f>
        <v/>
      </c>
      <c r="S256" s="35"/>
      <c r="T256" s="35"/>
      <c r="U256" s="38"/>
      <c r="V256" s="34"/>
      <c r="W256" s="35" t="str">
        <f aca="false">IF(OR($R256="OVERDUE",$R256="DUE SOON",$R256="FOLLOW-UP DUE"),MAX(W$3:W255)+1,"")</f>
        <v/>
      </c>
    </row>
    <row r="257" customFormat="false" ht="15" hidden="false" customHeight="false" outlineLevel="0" collapsed="false">
      <c r="A257" s="33" t="str">
        <f aca="false">IF($D257="","","JOB-"&amp;TEXT(ROW()-3,"000"))</f>
        <v/>
      </c>
      <c r="B257" s="34"/>
      <c r="C257" s="35"/>
      <c r="D257" s="35"/>
      <c r="E257" s="35"/>
      <c r="F257" s="35"/>
      <c r="G257" s="33"/>
      <c r="H257" s="35"/>
      <c r="I257" s="35"/>
      <c r="J257" s="35"/>
      <c r="K257" s="33"/>
      <c r="L257" s="33"/>
      <c r="M257" s="34"/>
      <c r="N257" s="34"/>
      <c r="O257" s="34"/>
      <c r="P257" s="34" t="str">
        <f aca="false">IF(OR($D257="",$M257=""),"",IF(IFERROR(INDEX(Settings!$C$11:$C$19,MATCH($L257,Settings!$B$11:$B$19,0)),"Yes")="No","",MAX($M257,$O257)+Settings!$C$6))</f>
        <v/>
      </c>
      <c r="Q257" s="36" t="str">
        <f aca="true">IF($D257="","",IF(IFERROR(INDEX(Settings!$C$11:$C$19,MATCH($L257,Settings!$B$11:$B$19,0)),"Yes")="No","",IF($M257="",IF($N257="","",$N257-TODAY()),IF($P257="","",$P257-TODAY()))))</f>
        <v/>
      </c>
      <c r="R257" s="37" t="str">
        <f aca="true">IF($D257="","",IF(IFERROR(INDEX(Settings!$C$11:$C$19,MATCH($L257,Settings!$B$11:$B$19,0)),"Yes")="No","CLOSED",IF($M257="",IF($N257="","ON TRACK",IF($N257&lt;TODAY(),"OVERDUE",IF($N257-TODAY()&lt;=Settings!$C$5,"DUE SOON","ON TRACK"))),IF($P257&lt;=TODAY(),"FOLLOW-UP DUE","ON TRACK"))))</f>
        <v/>
      </c>
      <c r="S257" s="35"/>
      <c r="T257" s="35"/>
      <c r="U257" s="38"/>
      <c r="V257" s="34"/>
      <c r="W257" s="35" t="str">
        <f aca="false">IF(OR($R257="OVERDUE",$R257="DUE SOON",$R257="FOLLOW-UP DUE"),MAX(W$3:W256)+1,"")</f>
        <v/>
      </c>
    </row>
    <row r="258" customFormat="false" ht="15" hidden="false" customHeight="false" outlineLevel="0" collapsed="false">
      <c r="A258" s="33" t="str">
        <f aca="false">IF($D258="","","JOB-"&amp;TEXT(ROW()-3,"000"))</f>
        <v/>
      </c>
      <c r="B258" s="34"/>
      <c r="C258" s="35"/>
      <c r="D258" s="35"/>
      <c r="E258" s="35"/>
      <c r="F258" s="35"/>
      <c r="G258" s="33"/>
      <c r="H258" s="35"/>
      <c r="I258" s="35"/>
      <c r="J258" s="35"/>
      <c r="K258" s="33"/>
      <c r="L258" s="33"/>
      <c r="M258" s="34"/>
      <c r="N258" s="34"/>
      <c r="O258" s="34"/>
      <c r="P258" s="34" t="str">
        <f aca="false">IF(OR($D258="",$M258=""),"",IF(IFERROR(INDEX(Settings!$C$11:$C$19,MATCH($L258,Settings!$B$11:$B$19,0)),"Yes")="No","",MAX($M258,$O258)+Settings!$C$6))</f>
        <v/>
      </c>
      <c r="Q258" s="36" t="str">
        <f aca="true">IF($D258="","",IF(IFERROR(INDEX(Settings!$C$11:$C$19,MATCH($L258,Settings!$B$11:$B$19,0)),"Yes")="No","",IF($M258="",IF($N258="","",$N258-TODAY()),IF($P258="","",$P258-TODAY()))))</f>
        <v/>
      </c>
      <c r="R258" s="37" t="str">
        <f aca="true">IF($D258="","",IF(IFERROR(INDEX(Settings!$C$11:$C$19,MATCH($L258,Settings!$B$11:$B$19,0)),"Yes")="No","CLOSED",IF($M258="",IF($N258="","ON TRACK",IF($N258&lt;TODAY(),"OVERDUE",IF($N258-TODAY()&lt;=Settings!$C$5,"DUE SOON","ON TRACK"))),IF($P258&lt;=TODAY(),"FOLLOW-UP DUE","ON TRACK"))))</f>
        <v/>
      </c>
      <c r="S258" s="35"/>
      <c r="T258" s="35"/>
      <c r="U258" s="38"/>
      <c r="V258" s="34"/>
      <c r="W258" s="35" t="str">
        <f aca="false">IF(OR($R258="OVERDUE",$R258="DUE SOON",$R258="FOLLOW-UP DUE"),MAX(W$3:W257)+1,"")</f>
        <v/>
      </c>
    </row>
    <row r="259" customFormat="false" ht="15" hidden="false" customHeight="false" outlineLevel="0" collapsed="false">
      <c r="A259" s="33" t="str">
        <f aca="false">IF($D259="","","JOB-"&amp;TEXT(ROW()-3,"000"))</f>
        <v/>
      </c>
      <c r="B259" s="34"/>
      <c r="C259" s="35"/>
      <c r="D259" s="35"/>
      <c r="E259" s="35"/>
      <c r="F259" s="35"/>
      <c r="G259" s="33"/>
      <c r="H259" s="35"/>
      <c r="I259" s="35"/>
      <c r="J259" s="35"/>
      <c r="K259" s="33"/>
      <c r="L259" s="33"/>
      <c r="M259" s="34"/>
      <c r="N259" s="34"/>
      <c r="O259" s="34"/>
      <c r="P259" s="34" t="str">
        <f aca="false">IF(OR($D259="",$M259=""),"",IF(IFERROR(INDEX(Settings!$C$11:$C$19,MATCH($L259,Settings!$B$11:$B$19,0)),"Yes")="No","",MAX($M259,$O259)+Settings!$C$6))</f>
        <v/>
      </c>
      <c r="Q259" s="36" t="str">
        <f aca="true">IF($D259="","",IF(IFERROR(INDEX(Settings!$C$11:$C$19,MATCH($L259,Settings!$B$11:$B$19,0)),"Yes")="No","",IF($M259="",IF($N259="","",$N259-TODAY()),IF($P259="","",$P259-TODAY()))))</f>
        <v/>
      </c>
      <c r="R259" s="37" t="str">
        <f aca="true">IF($D259="","",IF(IFERROR(INDEX(Settings!$C$11:$C$19,MATCH($L259,Settings!$B$11:$B$19,0)),"Yes")="No","CLOSED",IF($M259="",IF($N259="","ON TRACK",IF($N259&lt;TODAY(),"OVERDUE",IF($N259-TODAY()&lt;=Settings!$C$5,"DUE SOON","ON TRACK"))),IF($P259&lt;=TODAY(),"FOLLOW-UP DUE","ON TRACK"))))</f>
        <v/>
      </c>
      <c r="S259" s="35"/>
      <c r="T259" s="35"/>
      <c r="U259" s="38"/>
      <c r="V259" s="34"/>
      <c r="W259" s="35" t="str">
        <f aca="false">IF(OR($R259="OVERDUE",$R259="DUE SOON",$R259="FOLLOW-UP DUE"),MAX(W$3:W258)+1,"")</f>
        <v/>
      </c>
    </row>
    <row r="260" customFormat="false" ht="15" hidden="false" customHeight="false" outlineLevel="0" collapsed="false">
      <c r="A260" s="33" t="str">
        <f aca="false">IF($D260="","","JOB-"&amp;TEXT(ROW()-3,"000"))</f>
        <v/>
      </c>
      <c r="B260" s="34"/>
      <c r="C260" s="35"/>
      <c r="D260" s="35"/>
      <c r="E260" s="35"/>
      <c r="F260" s="35"/>
      <c r="G260" s="33"/>
      <c r="H260" s="35"/>
      <c r="I260" s="35"/>
      <c r="J260" s="35"/>
      <c r="K260" s="33"/>
      <c r="L260" s="33"/>
      <c r="M260" s="34"/>
      <c r="N260" s="34"/>
      <c r="O260" s="34"/>
      <c r="P260" s="34" t="str">
        <f aca="false">IF(OR($D260="",$M260=""),"",IF(IFERROR(INDEX(Settings!$C$11:$C$19,MATCH($L260,Settings!$B$11:$B$19,0)),"Yes")="No","",MAX($M260,$O260)+Settings!$C$6))</f>
        <v/>
      </c>
      <c r="Q260" s="36" t="str">
        <f aca="true">IF($D260="","",IF(IFERROR(INDEX(Settings!$C$11:$C$19,MATCH($L260,Settings!$B$11:$B$19,0)),"Yes")="No","",IF($M260="",IF($N260="","",$N260-TODAY()),IF($P260="","",$P260-TODAY()))))</f>
        <v/>
      </c>
      <c r="R260" s="37" t="str">
        <f aca="true">IF($D260="","",IF(IFERROR(INDEX(Settings!$C$11:$C$19,MATCH($L260,Settings!$B$11:$B$19,0)),"Yes")="No","CLOSED",IF($M260="",IF($N260="","ON TRACK",IF($N260&lt;TODAY(),"OVERDUE",IF($N260-TODAY()&lt;=Settings!$C$5,"DUE SOON","ON TRACK"))),IF($P260&lt;=TODAY(),"FOLLOW-UP DUE","ON TRACK"))))</f>
        <v/>
      </c>
      <c r="S260" s="35"/>
      <c r="T260" s="35"/>
      <c r="U260" s="38"/>
      <c r="V260" s="34"/>
      <c r="W260" s="35" t="str">
        <f aca="false">IF(OR($R260="OVERDUE",$R260="DUE SOON",$R260="FOLLOW-UP DUE"),MAX(W$3:W259)+1,"")</f>
        <v/>
      </c>
    </row>
    <row r="261" customFormat="false" ht="15" hidden="false" customHeight="false" outlineLevel="0" collapsed="false">
      <c r="A261" s="33" t="str">
        <f aca="false">IF($D261="","","JOB-"&amp;TEXT(ROW()-3,"000"))</f>
        <v/>
      </c>
      <c r="B261" s="34"/>
      <c r="C261" s="35"/>
      <c r="D261" s="35"/>
      <c r="E261" s="35"/>
      <c r="F261" s="35"/>
      <c r="G261" s="33"/>
      <c r="H261" s="35"/>
      <c r="I261" s="35"/>
      <c r="J261" s="35"/>
      <c r="K261" s="33"/>
      <c r="L261" s="33"/>
      <c r="M261" s="34"/>
      <c r="N261" s="34"/>
      <c r="O261" s="34"/>
      <c r="P261" s="34" t="str">
        <f aca="false">IF(OR($D261="",$M261=""),"",IF(IFERROR(INDEX(Settings!$C$11:$C$19,MATCH($L261,Settings!$B$11:$B$19,0)),"Yes")="No","",MAX($M261,$O261)+Settings!$C$6))</f>
        <v/>
      </c>
      <c r="Q261" s="36" t="str">
        <f aca="true">IF($D261="","",IF(IFERROR(INDEX(Settings!$C$11:$C$19,MATCH($L261,Settings!$B$11:$B$19,0)),"Yes")="No","",IF($M261="",IF($N261="","",$N261-TODAY()),IF($P261="","",$P261-TODAY()))))</f>
        <v/>
      </c>
      <c r="R261" s="37" t="str">
        <f aca="true">IF($D261="","",IF(IFERROR(INDEX(Settings!$C$11:$C$19,MATCH($L261,Settings!$B$11:$B$19,0)),"Yes")="No","CLOSED",IF($M261="",IF($N261="","ON TRACK",IF($N261&lt;TODAY(),"OVERDUE",IF($N261-TODAY()&lt;=Settings!$C$5,"DUE SOON","ON TRACK"))),IF($P261&lt;=TODAY(),"FOLLOW-UP DUE","ON TRACK"))))</f>
        <v/>
      </c>
      <c r="S261" s="35"/>
      <c r="T261" s="35"/>
      <c r="U261" s="38"/>
      <c r="V261" s="34"/>
      <c r="W261" s="35" t="str">
        <f aca="false">IF(OR($R261="OVERDUE",$R261="DUE SOON",$R261="FOLLOW-UP DUE"),MAX(W$3:W260)+1,"")</f>
        <v/>
      </c>
    </row>
    <row r="262" customFormat="false" ht="15" hidden="false" customHeight="false" outlineLevel="0" collapsed="false">
      <c r="A262" s="33" t="str">
        <f aca="false">IF($D262="","","JOB-"&amp;TEXT(ROW()-3,"000"))</f>
        <v/>
      </c>
      <c r="B262" s="34"/>
      <c r="C262" s="35"/>
      <c r="D262" s="35"/>
      <c r="E262" s="35"/>
      <c r="F262" s="35"/>
      <c r="G262" s="33"/>
      <c r="H262" s="35"/>
      <c r="I262" s="35"/>
      <c r="J262" s="35"/>
      <c r="K262" s="33"/>
      <c r="L262" s="33"/>
      <c r="M262" s="34"/>
      <c r="N262" s="34"/>
      <c r="O262" s="34"/>
      <c r="P262" s="34" t="str">
        <f aca="false">IF(OR($D262="",$M262=""),"",IF(IFERROR(INDEX(Settings!$C$11:$C$19,MATCH($L262,Settings!$B$11:$B$19,0)),"Yes")="No","",MAX($M262,$O262)+Settings!$C$6))</f>
        <v/>
      </c>
      <c r="Q262" s="36" t="str">
        <f aca="true">IF($D262="","",IF(IFERROR(INDEX(Settings!$C$11:$C$19,MATCH($L262,Settings!$B$11:$B$19,0)),"Yes")="No","",IF($M262="",IF($N262="","",$N262-TODAY()),IF($P262="","",$P262-TODAY()))))</f>
        <v/>
      </c>
      <c r="R262" s="37" t="str">
        <f aca="true">IF($D262="","",IF(IFERROR(INDEX(Settings!$C$11:$C$19,MATCH($L262,Settings!$B$11:$B$19,0)),"Yes")="No","CLOSED",IF($M262="",IF($N262="","ON TRACK",IF($N262&lt;TODAY(),"OVERDUE",IF($N262-TODAY()&lt;=Settings!$C$5,"DUE SOON","ON TRACK"))),IF($P262&lt;=TODAY(),"FOLLOW-UP DUE","ON TRACK"))))</f>
        <v/>
      </c>
      <c r="S262" s="35"/>
      <c r="T262" s="35"/>
      <c r="U262" s="38"/>
      <c r="V262" s="34"/>
      <c r="W262" s="35" t="str">
        <f aca="false">IF(OR($R262="OVERDUE",$R262="DUE SOON",$R262="FOLLOW-UP DUE"),MAX(W$3:W261)+1,"")</f>
        <v/>
      </c>
    </row>
    <row r="263" customFormat="false" ht="15" hidden="false" customHeight="false" outlineLevel="0" collapsed="false">
      <c r="A263" s="33" t="str">
        <f aca="false">IF($D263="","","JOB-"&amp;TEXT(ROW()-3,"000"))</f>
        <v/>
      </c>
      <c r="B263" s="34"/>
      <c r="C263" s="35"/>
      <c r="D263" s="35"/>
      <c r="E263" s="35"/>
      <c r="F263" s="35"/>
      <c r="G263" s="33"/>
      <c r="H263" s="35"/>
      <c r="I263" s="35"/>
      <c r="J263" s="35"/>
      <c r="K263" s="33"/>
      <c r="L263" s="33"/>
      <c r="M263" s="34"/>
      <c r="N263" s="34"/>
      <c r="O263" s="34"/>
      <c r="P263" s="34" t="str">
        <f aca="false">IF(OR($D263="",$M263=""),"",IF(IFERROR(INDEX(Settings!$C$11:$C$19,MATCH($L263,Settings!$B$11:$B$19,0)),"Yes")="No","",MAX($M263,$O263)+Settings!$C$6))</f>
        <v/>
      </c>
      <c r="Q263" s="36" t="str">
        <f aca="true">IF($D263="","",IF(IFERROR(INDEX(Settings!$C$11:$C$19,MATCH($L263,Settings!$B$11:$B$19,0)),"Yes")="No","",IF($M263="",IF($N263="","",$N263-TODAY()),IF($P263="","",$P263-TODAY()))))</f>
        <v/>
      </c>
      <c r="R263" s="37" t="str">
        <f aca="true">IF($D263="","",IF(IFERROR(INDEX(Settings!$C$11:$C$19,MATCH($L263,Settings!$B$11:$B$19,0)),"Yes")="No","CLOSED",IF($M263="",IF($N263="","ON TRACK",IF($N263&lt;TODAY(),"OVERDUE",IF($N263-TODAY()&lt;=Settings!$C$5,"DUE SOON","ON TRACK"))),IF($P263&lt;=TODAY(),"FOLLOW-UP DUE","ON TRACK"))))</f>
        <v/>
      </c>
      <c r="S263" s="35"/>
      <c r="T263" s="35"/>
      <c r="U263" s="38"/>
      <c r="V263" s="34"/>
      <c r="W263" s="35" t="str">
        <f aca="false">IF(OR($R263="OVERDUE",$R263="DUE SOON",$R263="FOLLOW-UP DUE"),MAX(W$3:W262)+1,"")</f>
        <v/>
      </c>
    </row>
    <row r="264" customFormat="false" ht="15" hidden="false" customHeight="false" outlineLevel="0" collapsed="false">
      <c r="A264" s="33" t="str">
        <f aca="false">IF($D264="","","JOB-"&amp;TEXT(ROW()-3,"000"))</f>
        <v/>
      </c>
      <c r="B264" s="34"/>
      <c r="C264" s="35"/>
      <c r="D264" s="35"/>
      <c r="E264" s="35"/>
      <c r="F264" s="35"/>
      <c r="G264" s="33"/>
      <c r="H264" s="35"/>
      <c r="I264" s="35"/>
      <c r="J264" s="35"/>
      <c r="K264" s="33"/>
      <c r="L264" s="33"/>
      <c r="M264" s="34"/>
      <c r="N264" s="34"/>
      <c r="O264" s="34"/>
      <c r="P264" s="34" t="str">
        <f aca="false">IF(OR($D264="",$M264=""),"",IF(IFERROR(INDEX(Settings!$C$11:$C$19,MATCH($L264,Settings!$B$11:$B$19,0)),"Yes")="No","",MAX($M264,$O264)+Settings!$C$6))</f>
        <v/>
      </c>
      <c r="Q264" s="36" t="str">
        <f aca="true">IF($D264="","",IF(IFERROR(INDEX(Settings!$C$11:$C$19,MATCH($L264,Settings!$B$11:$B$19,0)),"Yes")="No","",IF($M264="",IF($N264="","",$N264-TODAY()),IF($P264="","",$P264-TODAY()))))</f>
        <v/>
      </c>
      <c r="R264" s="37" t="str">
        <f aca="true">IF($D264="","",IF(IFERROR(INDEX(Settings!$C$11:$C$19,MATCH($L264,Settings!$B$11:$B$19,0)),"Yes")="No","CLOSED",IF($M264="",IF($N264="","ON TRACK",IF($N264&lt;TODAY(),"OVERDUE",IF($N264-TODAY()&lt;=Settings!$C$5,"DUE SOON","ON TRACK"))),IF($P264&lt;=TODAY(),"FOLLOW-UP DUE","ON TRACK"))))</f>
        <v/>
      </c>
      <c r="S264" s="35"/>
      <c r="T264" s="35"/>
      <c r="U264" s="38"/>
      <c r="V264" s="34"/>
      <c r="W264" s="35" t="str">
        <f aca="false">IF(OR($R264="OVERDUE",$R264="DUE SOON",$R264="FOLLOW-UP DUE"),MAX(W$3:W263)+1,"")</f>
        <v/>
      </c>
    </row>
    <row r="265" customFormat="false" ht="15" hidden="false" customHeight="false" outlineLevel="0" collapsed="false">
      <c r="A265" s="33" t="str">
        <f aca="false">IF($D265="","","JOB-"&amp;TEXT(ROW()-3,"000"))</f>
        <v/>
      </c>
      <c r="B265" s="34"/>
      <c r="C265" s="35"/>
      <c r="D265" s="35"/>
      <c r="E265" s="35"/>
      <c r="F265" s="35"/>
      <c r="G265" s="33"/>
      <c r="H265" s="35"/>
      <c r="I265" s="35"/>
      <c r="J265" s="35"/>
      <c r="K265" s="33"/>
      <c r="L265" s="33"/>
      <c r="M265" s="34"/>
      <c r="N265" s="34"/>
      <c r="O265" s="34"/>
      <c r="P265" s="34" t="str">
        <f aca="false">IF(OR($D265="",$M265=""),"",IF(IFERROR(INDEX(Settings!$C$11:$C$19,MATCH($L265,Settings!$B$11:$B$19,0)),"Yes")="No","",MAX($M265,$O265)+Settings!$C$6))</f>
        <v/>
      </c>
      <c r="Q265" s="36" t="str">
        <f aca="true">IF($D265="","",IF(IFERROR(INDEX(Settings!$C$11:$C$19,MATCH($L265,Settings!$B$11:$B$19,0)),"Yes")="No","",IF($M265="",IF($N265="","",$N265-TODAY()),IF($P265="","",$P265-TODAY()))))</f>
        <v/>
      </c>
      <c r="R265" s="37" t="str">
        <f aca="true">IF($D265="","",IF(IFERROR(INDEX(Settings!$C$11:$C$19,MATCH($L265,Settings!$B$11:$B$19,0)),"Yes")="No","CLOSED",IF($M265="",IF($N265="","ON TRACK",IF($N265&lt;TODAY(),"OVERDUE",IF($N265-TODAY()&lt;=Settings!$C$5,"DUE SOON","ON TRACK"))),IF($P265&lt;=TODAY(),"FOLLOW-UP DUE","ON TRACK"))))</f>
        <v/>
      </c>
      <c r="S265" s="35"/>
      <c r="T265" s="35"/>
      <c r="U265" s="38"/>
      <c r="V265" s="34"/>
      <c r="W265" s="35" t="str">
        <f aca="false">IF(OR($R265="OVERDUE",$R265="DUE SOON",$R265="FOLLOW-UP DUE"),MAX(W$3:W264)+1,"")</f>
        <v/>
      </c>
    </row>
    <row r="266" customFormat="false" ht="15" hidden="false" customHeight="false" outlineLevel="0" collapsed="false">
      <c r="A266" s="33" t="str">
        <f aca="false">IF($D266="","","JOB-"&amp;TEXT(ROW()-3,"000"))</f>
        <v/>
      </c>
      <c r="B266" s="34"/>
      <c r="C266" s="35"/>
      <c r="D266" s="35"/>
      <c r="E266" s="35"/>
      <c r="F266" s="35"/>
      <c r="G266" s="33"/>
      <c r="H266" s="35"/>
      <c r="I266" s="35"/>
      <c r="J266" s="35"/>
      <c r="K266" s="33"/>
      <c r="L266" s="33"/>
      <c r="M266" s="34"/>
      <c r="N266" s="34"/>
      <c r="O266" s="34"/>
      <c r="P266" s="34" t="str">
        <f aca="false">IF(OR($D266="",$M266=""),"",IF(IFERROR(INDEX(Settings!$C$11:$C$19,MATCH($L266,Settings!$B$11:$B$19,0)),"Yes")="No","",MAX($M266,$O266)+Settings!$C$6))</f>
        <v/>
      </c>
      <c r="Q266" s="36" t="str">
        <f aca="true">IF($D266="","",IF(IFERROR(INDEX(Settings!$C$11:$C$19,MATCH($L266,Settings!$B$11:$B$19,0)),"Yes")="No","",IF($M266="",IF($N266="","",$N266-TODAY()),IF($P266="","",$P266-TODAY()))))</f>
        <v/>
      </c>
      <c r="R266" s="37" t="str">
        <f aca="true">IF($D266="","",IF(IFERROR(INDEX(Settings!$C$11:$C$19,MATCH($L266,Settings!$B$11:$B$19,0)),"Yes")="No","CLOSED",IF($M266="",IF($N266="","ON TRACK",IF($N266&lt;TODAY(),"OVERDUE",IF($N266-TODAY()&lt;=Settings!$C$5,"DUE SOON","ON TRACK"))),IF($P266&lt;=TODAY(),"FOLLOW-UP DUE","ON TRACK"))))</f>
        <v/>
      </c>
      <c r="S266" s="35"/>
      <c r="T266" s="35"/>
      <c r="U266" s="38"/>
      <c r="V266" s="34"/>
      <c r="W266" s="35" t="str">
        <f aca="false">IF(OR($R266="OVERDUE",$R266="DUE SOON",$R266="FOLLOW-UP DUE"),MAX(W$3:W265)+1,"")</f>
        <v/>
      </c>
    </row>
    <row r="267" customFormat="false" ht="15" hidden="false" customHeight="false" outlineLevel="0" collapsed="false">
      <c r="A267" s="33" t="str">
        <f aca="false">IF($D267="","","JOB-"&amp;TEXT(ROW()-3,"000"))</f>
        <v/>
      </c>
      <c r="B267" s="34"/>
      <c r="C267" s="35"/>
      <c r="D267" s="35"/>
      <c r="E267" s="35"/>
      <c r="F267" s="35"/>
      <c r="G267" s="33"/>
      <c r="H267" s="35"/>
      <c r="I267" s="35"/>
      <c r="J267" s="35"/>
      <c r="K267" s="33"/>
      <c r="L267" s="33"/>
      <c r="M267" s="34"/>
      <c r="N267" s="34"/>
      <c r="O267" s="34"/>
      <c r="P267" s="34" t="str">
        <f aca="false">IF(OR($D267="",$M267=""),"",IF(IFERROR(INDEX(Settings!$C$11:$C$19,MATCH($L267,Settings!$B$11:$B$19,0)),"Yes")="No","",MAX($M267,$O267)+Settings!$C$6))</f>
        <v/>
      </c>
      <c r="Q267" s="36" t="str">
        <f aca="true">IF($D267="","",IF(IFERROR(INDEX(Settings!$C$11:$C$19,MATCH($L267,Settings!$B$11:$B$19,0)),"Yes")="No","",IF($M267="",IF($N267="","",$N267-TODAY()),IF($P267="","",$P267-TODAY()))))</f>
        <v/>
      </c>
      <c r="R267" s="37" t="str">
        <f aca="true">IF($D267="","",IF(IFERROR(INDEX(Settings!$C$11:$C$19,MATCH($L267,Settings!$B$11:$B$19,0)),"Yes")="No","CLOSED",IF($M267="",IF($N267="","ON TRACK",IF($N267&lt;TODAY(),"OVERDUE",IF($N267-TODAY()&lt;=Settings!$C$5,"DUE SOON","ON TRACK"))),IF($P267&lt;=TODAY(),"FOLLOW-UP DUE","ON TRACK"))))</f>
        <v/>
      </c>
      <c r="S267" s="35"/>
      <c r="T267" s="35"/>
      <c r="U267" s="38"/>
      <c r="V267" s="34"/>
      <c r="W267" s="35" t="str">
        <f aca="false">IF(OR($R267="OVERDUE",$R267="DUE SOON",$R267="FOLLOW-UP DUE"),MAX(W$3:W266)+1,"")</f>
        <v/>
      </c>
    </row>
    <row r="268" customFormat="false" ht="15" hidden="false" customHeight="false" outlineLevel="0" collapsed="false">
      <c r="A268" s="33" t="str">
        <f aca="false">IF($D268="","","JOB-"&amp;TEXT(ROW()-3,"000"))</f>
        <v/>
      </c>
      <c r="B268" s="34"/>
      <c r="C268" s="35"/>
      <c r="D268" s="35"/>
      <c r="E268" s="35"/>
      <c r="F268" s="35"/>
      <c r="G268" s="33"/>
      <c r="H268" s="35"/>
      <c r="I268" s="35"/>
      <c r="J268" s="35"/>
      <c r="K268" s="33"/>
      <c r="L268" s="33"/>
      <c r="M268" s="34"/>
      <c r="N268" s="34"/>
      <c r="O268" s="34"/>
      <c r="P268" s="34" t="str">
        <f aca="false">IF(OR($D268="",$M268=""),"",IF(IFERROR(INDEX(Settings!$C$11:$C$19,MATCH($L268,Settings!$B$11:$B$19,0)),"Yes")="No","",MAX($M268,$O268)+Settings!$C$6))</f>
        <v/>
      </c>
      <c r="Q268" s="36" t="str">
        <f aca="true">IF($D268="","",IF(IFERROR(INDEX(Settings!$C$11:$C$19,MATCH($L268,Settings!$B$11:$B$19,0)),"Yes")="No","",IF($M268="",IF($N268="","",$N268-TODAY()),IF($P268="","",$P268-TODAY()))))</f>
        <v/>
      </c>
      <c r="R268" s="37" t="str">
        <f aca="true">IF($D268="","",IF(IFERROR(INDEX(Settings!$C$11:$C$19,MATCH($L268,Settings!$B$11:$B$19,0)),"Yes")="No","CLOSED",IF($M268="",IF($N268="","ON TRACK",IF($N268&lt;TODAY(),"OVERDUE",IF($N268-TODAY()&lt;=Settings!$C$5,"DUE SOON","ON TRACK"))),IF($P268&lt;=TODAY(),"FOLLOW-UP DUE","ON TRACK"))))</f>
        <v/>
      </c>
      <c r="S268" s="35"/>
      <c r="T268" s="35"/>
      <c r="U268" s="38"/>
      <c r="V268" s="34"/>
      <c r="W268" s="35" t="str">
        <f aca="false">IF(OR($R268="OVERDUE",$R268="DUE SOON",$R268="FOLLOW-UP DUE"),MAX(W$3:W267)+1,"")</f>
        <v/>
      </c>
    </row>
    <row r="269" customFormat="false" ht="15" hidden="false" customHeight="false" outlineLevel="0" collapsed="false">
      <c r="A269" s="33" t="str">
        <f aca="false">IF($D269="","","JOB-"&amp;TEXT(ROW()-3,"000"))</f>
        <v/>
      </c>
      <c r="B269" s="34"/>
      <c r="C269" s="35"/>
      <c r="D269" s="35"/>
      <c r="E269" s="35"/>
      <c r="F269" s="35"/>
      <c r="G269" s="33"/>
      <c r="H269" s="35"/>
      <c r="I269" s="35"/>
      <c r="J269" s="35"/>
      <c r="K269" s="33"/>
      <c r="L269" s="33"/>
      <c r="M269" s="34"/>
      <c r="N269" s="34"/>
      <c r="O269" s="34"/>
      <c r="P269" s="34" t="str">
        <f aca="false">IF(OR($D269="",$M269=""),"",IF(IFERROR(INDEX(Settings!$C$11:$C$19,MATCH($L269,Settings!$B$11:$B$19,0)),"Yes")="No","",MAX($M269,$O269)+Settings!$C$6))</f>
        <v/>
      </c>
      <c r="Q269" s="36" t="str">
        <f aca="true">IF($D269="","",IF(IFERROR(INDEX(Settings!$C$11:$C$19,MATCH($L269,Settings!$B$11:$B$19,0)),"Yes")="No","",IF($M269="",IF($N269="","",$N269-TODAY()),IF($P269="","",$P269-TODAY()))))</f>
        <v/>
      </c>
      <c r="R269" s="37" t="str">
        <f aca="true">IF($D269="","",IF(IFERROR(INDEX(Settings!$C$11:$C$19,MATCH($L269,Settings!$B$11:$B$19,0)),"Yes")="No","CLOSED",IF($M269="",IF($N269="","ON TRACK",IF($N269&lt;TODAY(),"OVERDUE",IF($N269-TODAY()&lt;=Settings!$C$5,"DUE SOON","ON TRACK"))),IF($P269&lt;=TODAY(),"FOLLOW-UP DUE","ON TRACK"))))</f>
        <v/>
      </c>
      <c r="S269" s="35"/>
      <c r="T269" s="35"/>
      <c r="U269" s="38"/>
      <c r="V269" s="34"/>
      <c r="W269" s="35" t="str">
        <f aca="false">IF(OR($R269="OVERDUE",$R269="DUE SOON",$R269="FOLLOW-UP DUE"),MAX(W$3:W268)+1,"")</f>
        <v/>
      </c>
    </row>
    <row r="270" customFormat="false" ht="15" hidden="false" customHeight="false" outlineLevel="0" collapsed="false">
      <c r="A270" s="33" t="str">
        <f aca="false">IF($D270="","","JOB-"&amp;TEXT(ROW()-3,"000"))</f>
        <v/>
      </c>
      <c r="B270" s="34"/>
      <c r="C270" s="35"/>
      <c r="D270" s="35"/>
      <c r="E270" s="35"/>
      <c r="F270" s="35"/>
      <c r="G270" s="33"/>
      <c r="H270" s="35"/>
      <c r="I270" s="35"/>
      <c r="J270" s="35"/>
      <c r="K270" s="33"/>
      <c r="L270" s="33"/>
      <c r="M270" s="34"/>
      <c r="N270" s="34"/>
      <c r="O270" s="34"/>
      <c r="P270" s="34" t="str">
        <f aca="false">IF(OR($D270="",$M270=""),"",IF(IFERROR(INDEX(Settings!$C$11:$C$19,MATCH($L270,Settings!$B$11:$B$19,0)),"Yes")="No","",MAX($M270,$O270)+Settings!$C$6))</f>
        <v/>
      </c>
      <c r="Q270" s="36" t="str">
        <f aca="true">IF($D270="","",IF(IFERROR(INDEX(Settings!$C$11:$C$19,MATCH($L270,Settings!$B$11:$B$19,0)),"Yes")="No","",IF($M270="",IF($N270="","",$N270-TODAY()),IF($P270="","",$P270-TODAY()))))</f>
        <v/>
      </c>
      <c r="R270" s="37" t="str">
        <f aca="true">IF($D270="","",IF(IFERROR(INDEX(Settings!$C$11:$C$19,MATCH($L270,Settings!$B$11:$B$19,0)),"Yes")="No","CLOSED",IF($M270="",IF($N270="","ON TRACK",IF($N270&lt;TODAY(),"OVERDUE",IF($N270-TODAY()&lt;=Settings!$C$5,"DUE SOON","ON TRACK"))),IF($P270&lt;=TODAY(),"FOLLOW-UP DUE","ON TRACK"))))</f>
        <v/>
      </c>
      <c r="S270" s="35"/>
      <c r="T270" s="35"/>
      <c r="U270" s="38"/>
      <c r="V270" s="34"/>
      <c r="W270" s="35" t="str">
        <f aca="false">IF(OR($R270="OVERDUE",$R270="DUE SOON",$R270="FOLLOW-UP DUE"),MAX(W$3:W269)+1,"")</f>
        <v/>
      </c>
    </row>
    <row r="271" customFormat="false" ht="15" hidden="false" customHeight="false" outlineLevel="0" collapsed="false">
      <c r="A271" s="33" t="str">
        <f aca="false">IF($D271="","","JOB-"&amp;TEXT(ROW()-3,"000"))</f>
        <v/>
      </c>
      <c r="B271" s="34"/>
      <c r="C271" s="35"/>
      <c r="D271" s="35"/>
      <c r="E271" s="35"/>
      <c r="F271" s="35"/>
      <c r="G271" s="33"/>
      <c r="H271" s="35"/>
      <c r="I271" s="35"/>
      <c r="J271" s="35"/>
      <c r="K271" s="33"/>
      <c r="L271" s="33"/>
      <c r="M271" s="34"/>
      <c r="N271" s="34"/>
      <c r="O271" s="34"/>
      <c r="P271" s="34" t="str">
        <f aca="false">IF(OR($D271="",$M271=""),"",IF(IFERROR(INDEX(Settings!$C$11:$C$19,MATCH($L271,Settings!$B$11:$B$19,0)),"Yes")="No","",MAX($M271,$O271)+Settings!$C$6))</f>
        <v/>
      </c>
      <c r="Q271" s="36" t="str">
        <f aca="true">IF($D271="","",IF(IFERROR(INDEX(Settings!$C$11:$C$19,MATCH($L271,Settings!$B$11:$B$19,0)),"Yes")="No","",IF($M271="",IF($N271="","",$N271-TODAY()),IF($P271="","",$P271-TODAY()))))</f>
        <v/>
      </c>
      <c r="R271" s="37" t="str">
        <f aca="true">IF($D271="","",IF(IFERROR(INDEX(Settings!$C$11:$C$19,MATCH($L271,Settings!$B$11:$B$19,0)),"Yes")="No","CLOSED",IF($M271="",IF($N271="","ON TRACK",IF($N271&lt;TODAY(),"OVERDUE",IF($N271-TODAY()&lt;=Settings!$C$5,"DUE SOON","ON TRACK"))),IF($P271&lt;=TODAY(),"FOLLOW-UP DUE","ON TRACK"))))</f>
        <v/>
      </c>
      <c r="S271" s="35"/>
      <c r="T271" s="35"/>
      <c r="U271" s="38"/>
      <c r="V271" s="34"/>
      <c r="W271" s="35" t="str">
        <f aca="false">IF(OR($R271="OVERDUE",$R271="DUE SOON",$R271="FOLLOW-UP DUE"),MAX(W$3:W270)+1,"")</f>
        <v/>
      </c>
    </row>
    <row r="272" customFormat="false" ht="15" hidden="false" customHeight="false" outlineLevel="0" collapsed="false">
      <c r="A272" s="33" t="str">
        <f aca="false">IF($D272="","","JOB-"&amp;TEXT(ROW()-3,"000"))</f>
        <v/>
      </c>
      <c r="B272" s="34"/>
      <c r="C272" s="35"/>
      <c r="D272" s="35"/>
      <c r="E272" s="35"/>
      <c r="F272" s="35"/>
      <c r="G272" s="33"/>
      <c r="H272" s="35"/>
      <c r="I272" s="35"/>
      <c r="J272" s="35"/>
      <c r="K272" s="33"/>
      <c r="L272" s="33"/>
      <c r="M272" s="34"/>
      <c r="N272" s="34"/>
      <c r="O272" s="34"/>
      <c r="P272" s="34" t="str">
        <f aca="false">IF(OR($D272="",$M272=""),"",IF(IFERROR(INDEX(Settings!$C$11:$C$19,MATCH($L272,Settings!$B$11:$B$19,0)),"Yes")="No","",MAX($M272,$O272)+Settings!$C$6))</f>
        <v/>
      </c>
      <c r="Q272" s="36" t="str">
        <f aca="true">IF($D272="","",IF(IFERROR(INDEX(Settings!$C$11:$C$19,MATCH($L272,Settings!$B$11:$B$19,0)),"Yes")="No","",IF($M272="",IF($N272="","",$N272-TODAY()),IF($P272="","",$P272-TODAY()))))</f>
        <v/>
      </c>
      <c r="R272" s="37" t="str">
        <f aca="true">IF($D272="","",IF(IFERROR(INDEX(Settings!$C$11:$C$19,MATCH($L272,Settings!$B$11:$B$19,0)),"Yes")="No","CLOSED",IF($M272="",IF($N272="","ON TRACK",IF($N272&lt;TODAY(),"OVERDUE",IF($N272-TODAY()&lt;=Settings!$C$5,"DUE SOON","ON TRACK"))),IF($P272&lt;=TODAY(),"FOLLOW-UP DUE","ON TRACK"))))</f>
        <v/>
      </c>
      <c r="S272" s="35"/>
      <c r="T272" s="35"/>
      <c r="U272" s="38"/>
      <c r="V272" s="34"/>
      <c r="W272" s="35" t="str">
        <f aca="false">IF(OR($R272="OVERDUE",$R272="DUE SOON",$R272="FOLLOW-UP DUE"),MAX(W$3:W271)+1,"")</f>
        <v/>
      </c>
    </row>
    <row r="273" customFormat="false" ht="15" hidden="false" customHeight="false" outlineLevel="0" collapsed="false">
      <c r="A273" s="33" t="str">
        <f aca="false">IF($D273="","","JOB-"&amp;TEXT(ROW()-3,"000"))</f>
        <v/>
      </c>
      <c r="B273" s="34"/>
      <c r="C273" s="35"/>
      <c r="D273" s="35"/>
      <c r="E273" s="35"/>
      <c r="F273" s="35"/>
      <c r="G273" s="33"/>
      <c r="H273" s="35"/>
      <c r="I273" s="35"/>
      <c r="J273" s="35"/>
      <c r="K273" s="33"/>
      <c r="L273" s="33"/>
      <c r="M273" s="34"/>
      <c r="N273" s="34"/>
      <c r="O273" s="34"/>
      <c r="P273" s="34" t="str">
        <f aca="false">IF(OR($D273="",$M273=""),"",IF(IFERROR(INDEX(Settings!$C$11:$C$19,MATCH($L273,Settings!$B$11:$B$19,0)),"Yes")="No","",MAX($M273,$O273)+Settings!$C$6))</f>
        <v/>
      </c>
      <c r="Q273" s="36" t="str">
        <f aca="true">IF($D273="","",IF(IFERROR(INDEX(Settings!$C$11:$C$19,MATCH($L273,Settings!$B$11:$B$19,0)),"Yes")="No","",IF($M273="",IF($N273="","",$N273-TODAY()),IF($P273="","",$P273-TODAY()))))</f>
        <v/>
      </c>
      <c r="R273" s="37" t="str">
        <f aca="true">IF($D273="","",IF(IFERROR(INDEX(Settings!$C$11:$C$19,MATCH($L273,Settings!$B$11:$B$19,0)),"Yes")="No","CLOSED",IF($M273="",IF($N273="","ON TRACK",IF($N273&lt;TODAY(),"OVERDUE",IF($N273-TODAY()&lt;=Settings!$C$5,"DUE SOON","ON TRACK"))),IF($P273&lt;=TODAY(),"FOLLOW-UP DUE","ON TRACK"))))</f>
        <v/>
      </c>
      <c r="S273" s="35"/>
      <c r="T273" s="35"/>
      <c r="U273" s="38"/>
      <c r="V273" s="34"/>
      <c r="W273" s="35" t="str">
        <f aca="false">IF(OR($R273="OVERDUE",$R273="DUE SOON",$R273="FOLLOW-UP DUE"),MAX(W$3:W272)+1,"")</f>
        <v/>
      </c>
    </row>
    <row r="274" customFormat="false" ht="15" hidden="false" customHeight="false" outlineLevel="0" collapsed="false">
      <c r="A274" s="33" t="str">
        <f aca="false">IF($D274="","","JOB-"&amp;TEXT(ROW()-3,"000"))</f>
        <v/>
      </c>
      <c r="B274" s="34"/>
      <c r="C274" s="35"/>
      <c r="D274" s="35"/>
      <c r="E274" s="35"/>
      <c r="F274" s="35"/>
      <c r="G274" s="33"/>
      <c r="H274" s="35"/>
      <c r="I274" s="35"/>
      <c r="J274" s="35"/>
      <c r="K274" s="33"/>
      <c r="L274" s="33"/>
      <c r="M274" s="34"/>
      <c r="N274" s="34"/>
      <c r="O274" s="34"/>
      <c r="P274" s="34" t="str">
        <f aca="false">IF(OR($D274="",$M274=""),"",IF(IFERROR(INDEX(Settings!$C$11:$C$19,MATCH($L274,Settings!$B$11:$B$19,0)),"Yes")="No","",MAX($M274,$O274)+Settings!$C$6))</f>
        <v/>
      </c>
      <c r="Q274" s="36" t="str">
        <f aca="true">IF($D274="","",IF(IFERROR(INDEX(Settings!$C$11:$C$19,MATCH($L274,Settings!$B$11:$B$19,0)),"Yes")="No","",IF($M274="",IF($N274="","",$N274-TODAY()),IF($P274="","",$P274-TODAY()))))</f>
        <v/>
      </c>
      <c r="R274" s="37" t="str">
        <f aca="true">IF($D274="","",IF(IFERROR(INDEX(Settings!$C$11:$C$19,MATCH($L274,Settings!$B$11:$B$19,0)),"Yes")="No","CLOSED",IF($M274="",IF($N274="","ON TRACK",IF($N274&lt;TODAY(),"OVERDUE",IF($N274-TODAY()&lt;=Settings!$C$5,"DUE SOON","ON TRACK"))),IF($P274&lt;=TODAY(),"FOLLOW-UP DUE","ON TRACK"))))</f>
        <v/>
      </c>
      <c r="S274" s="35"/>
      <c r="T274" s="35"/>
      <c r="U274" s="38"/>
      <c r="V274" s="34"/>
      <c r="W274" s="35" t="str">
        <f aca="false">IF(OR($R274="OVERDUE",$R274="DUE SOON",$R274="FOLLOW-UP DUE"),MAX(W$3:W273)+1,"")</f>
        <v/>
      </c>
    </row>
    <row r="275" customFormat="false" ht="15" hidden="false" customHeight="false" outlineLevel="0" collapsed="false">
      <c r="A275" s="33" t="str">
        <f aca="false">IF($D275="","","JOB-"&amp;TEXT(ROW()-3,"000"))</f>
        <v/>
      </c>
      <c r="B275" s="34"/>
      <c r="C275" s="35"/>
      <c r="D275" s="35"/>
      <c r="E275" s="35"/>
      <c r="F275" s="35"/>
      <c r="G275" s="33"/>
      <c r="H275" s="35"/>
      <c r="I275" s="35"/>
      <c r="J275" s="35"/>
      <c r="K275" s="33"/>
      <c r="L275" s="33"/>
      <c r="M275" s="34"/>
      <c r="N275" s="34"/>
      <c r="O275" s="34"/>
      <c r="P275" s="34" t="str">
        <f aca="false">IF(OR($D275="",$M275=""),"",IF(IFERROR(INDEX(Settings!$C$11:$C$19,MATCH($L275,Settings!$B$11:$B$19,0)),"Yes")="No","",MAX($M275,$O275)+Settings!$C$6))</f>
        <v/>
      </c>
      <c r="Q275" s="36" t="str">
        <f aca="true">IF($D275="","",IF(IFERROR(INDEX(Settings!$C$11:$C$19,MATCH($L275,Settings!$B$11:$B$19,0)),"Yes")="No","",IF($M275="",IF($N275="","",$N275-TODAY()),IF($P275="","",$P275-TODAY()))))</f>
        <v/>
      </c>
      <c r="R275" s="37" t="str">
        <f aca="true">IF($D275="","",IF(IFERROR(INDEX(Settings!$C$11:$C$19,MATCH($L275,Settings!$B$11:$B$19,0)),"Yes")="No","CLOSED",IF($M275="",IF($N275="","ON TRACK",IF($N275&lt;TODAY(),"OVERDUE",IF($N275-TODAY()&lt;=Settings!$C$5,"DUE SOON","ON TRACK"))),IF($P275&lt;=TODAY(),"FOLLOW-UP DUE","ON TRACK"))))</f>
        <v/>
      </c>
      <c r="S275" s="35"/>
      <c r="T275" s="35"/>
      <c r="U275" s="38"/>
      <c r="V275" s="34"/>
      <c r="W275" s="35" t="str">
        <f aca="false">IF(OR($R275="OVERDUE",$R275="DUE SOON",$R275="FOLLOW-UP DUE"),MAX(W$3:W274)+1,"")</f>
        <v/>
      </c>
    </row>
    <row r="276" customFormat="false" ht="15" hidden="false" customHeight="false" outlineLevel="0" collapsed="false">
      <c r="A276" s="33" t="str">
        <f aca="false">IF($D276="","","JOB-"&amp;TEXT(ROW()-3,"000"))</f>
        <v/>
      </c>
      <c r="B276" s="34"/>
      <c r="C276" s="35"/>
      <c r="D276" s="35"/>
      <c r="E276" s="35"/>
      <c r="F276" s="35"/>
      <c r="G276" s="33"/>
      <c r="H276" s="35"/>
      <c r="I276" s="35"/>
      <c r="J276" s="35"/>
      <c r="K276" s="33"/>
      <c r="L276" s="33"/>
      <c r="M276" s="34"/>
      <c r="N276" s="34"/>
      <c r="O276" s="34"/>
      <c r="P276" s="34" t="str">
        <f aca="false">IF(OR($D276="",$M276=""),"",IF(IFERROR(INDEX(Settings!$C$11:$C$19,MATCH($L276,Settings!$B$11:$B$19,0)),"Yes")="No","",MAX($M276,$O276)+Settings!$C$6))</f>
        <v/>
      </c>
      <c r="Q276" s="36" t="str">
        <f aca="true">IF($D276="","",IF(IFERROR(INDEX(Settings!$C$11:$C$19,MATCH($L276,Settings!$B$11:$B$19,0)),"Yes")="No","",IF($M276="",IF($N276="","",$N276-TODAY()),IF($P276="","",$P276-TODAY()))))</f>
        <v/>
      </c>
      <c r="R276" s="37" t="str">
        <f aca="true">IF($D276="","",IF(IFERROR(INDEX(Settings!$C$11:$C$19,MATCH($L276,Settings!$B$11:$B$19,0)),"Yes")="No","CLOSED",IF($M276="",IF($N276="","ON TRACK",IF($N276&lt;TODAY(),"OVERDUE",IF($N276-TODAY()&lt;=Settings!$C$5,"DUE SOON","ON TRACK"))),IF($P276&lt;=TODAY(),"FOLLOW-UP DUE","ON TRACK"))))</f>
        <v/>
      </c>
      <c r="S276" s="35"/>
      <c r="T276" s="35"/>
      <c r="U276" s="38"/>
      <c r="V276" s="34"/>
      <c r="W276" s="35" t="str">
        <f aca="false">IF(OR($R276="OVERDUE",$R276="DUE SOON",$R276="FOLLOW-UP DUE"),MAX(W$3:W275)+1,"")</f>
        <v/>
      </c>
    </row>
    <row r="277" customFormat="false" ht="15" hidden="false" customHeight="false" outlineLevel="0" collapsed="false">
      <c r="A277" s="33" t="str">
        <f aca="false">IF($D277="","","JOB-"&amp;TEXT(ROW()-3,"000"))</f>
        <v/>
      </c>
      <c r="B277" s="34"/>
      <c r="C277" s="35"/>
      <c r="D277" s="35"/>
      <c r="E277" s="35"/>
      <c r="F277" s="35"/>
      <c r="G277" s="33"/>
      <c r="H277" s="35"/>
      <c r="I277" s="35"/>
      <c r="J277" s="35"/>
      <c r="K277" s="33"/>
      <c r="L277" s="33"/>
      <c r="M277" s="34"/>
      <c r="N277" s="34"/>
      <c r="O277" s="34"/>
      <c r="P277" s="34" t="str">
        <f aca="false">IF(OR($D277="",$M277=""),"",IF(IFERROR(INDEX(Settings!$C$11:$C$19,MATCH($L277,Settings!$B$11:$B$19,0)),"Yes")="No","",MAX($M277,$O277)+Settings!$C$6))</f>
        <v/>
      </c>
      <c r="Q277" s="36" t="str">
        <f aca="true">IF($D277="","",IF(IFERROR(INDEX(Settings!$C$11:$C$19,MATCH($L277,Settings!$B$11:$B$19,0)),"Yes")="No","",IF($M277="",IF($N277="","",$N277-TODAY()),IF($P277="","",$P277-TODAY()))))</f>
        <v/>
      </c>
      <c r="R277" s="37" t="str">
        <f aca="true">IF($D277="","",IF(IFERROR(INDEX(Settings!$C$11:$C$19,MATCH($L277,Settings!$B$11:$B$19,0)),"Yes")="No","CLOSED",IF($M277="",IF($N277="","ON TRACK",IF($N277&lt;TODAY(),"OVERDUE",IF($N277-TODAY()&lt;=Settings!$C$5,"DUE SOON","ON TRACK"))),IF($P277&lt;=TODAY(),"FOLLOW-UP DUE","ON TRACK"))))</f>
        <v/>
      </c>
      <c r="S277" s="35"/>
      <c r="T277" s="35"/>
      <c r="U277" s="38"/>
      <c r="V277" s="34"/>
      <c r="W277" s="35" t="str">
        <f aca="false">IF(OR($R277="OVERDUE",$R277="DUE SOON",$R277="FOLLOW-UP DUE"),MAX(W$3:W276)+1,"")</f>
        <v/>
      </c>
    </row>
    <row r="278" customFormat="false" ht="15" hidden="false" customHeight="false" outlineLevel="0" collapsed="false">
      <c r="A278" s="33" t="str">
        <f aca="false">IF($D278="","","JOB-"&amp;TEXT(ROW()-3,"000"))</f>
        <v/>
      </c>
      <c r="B278" s="34"/>
      <c r="C278" s="35"/>
      <c r="D278" s="35"/>
      <c r="E278" s="35"/>
      <c r="F278" s="35"/>
      <c r="G278" s="33"/>
      <c r="H278" s="35"/>
      <c r="I278" s="35"/>
      <c r="J278" s="35"/>
      <c r="K278" s="33"/>
      <c r="L278" s="33"/>
      <c r="M278" s="34"/>
      <c r="N278" s="34"/>
      <c r="O278" s="34"/>
      <c r="P278" s="34" t="str">
        <f aca="false">IF(OR($D278="",$M278=""),"",IF(IFERROR(INDEX(Settings!$C$11:$C$19,MATCH($L278,Settings!$B$11:$B$19,0)),"Yes")="No","",MAX($M278,$O278)+Settings!$C$6))</f>
        <v/>
      </c>
      <c r="Q278" s="36" t="str">
        <f aca="true">IF($D278="","",IF(IFERROR(INDEX(Settings!$C$11:$C$19,MATCH($L278,Settings!$B$11:$B$19,0)),"Yes")="No","",IF($M278="",IF($N278="","",$N278-TODAY()),IF($P278="","",$P278-TODAY()))))</f>
        <v/>
      </c>
      <c r="R278" s="37" t="str">
        <f aca="true">IF($D278="","",IF(IFERROR(INDEX(Settings!$C$11:$C$19,MATCH($L278,Settings!$B$11:$B$19,0)),"Yes")="No","CLOSED",IF($M278="",IF($N278="","ON TRACK",IF($N278&lt;TODAY(),"OVERDUE",IF($N278-TODAY()&lt;=Settings!$C$5,"DUE SOON","ON TRACK"))),IF($P278&lt;=TODAY(),"FOLLOW-UP DUE","ON TRACK"))))</f>
        <v/>
      </c>
      <c r="S278" s="35"/>
      <c r="T278" s="35"/>
      <c r="U278" s="38"/>
      <c r="V278" s="34"/>
      <c r="W278" s="35" t="str">
        <f aca="false">IF(OR($R278="OVERDUE",$R278="DUE SOON",$R278="FOLLOW-UP DUE"),MAX(W$3:W277)+1,"")</f>
        <v/>
      </c>
    </row>
    <row r="279" customFormat="false" ht="15" hidden="false" customHeight="false" outlineLevel="0" collapsed="false">
      <c r="A279" s="33" t="str">
        <f aca="false">IF($D279="","","JOB-"&amp;TEXT(ROW()-3,"000"))</f>
        <v/>
      </c>
      <c r="B279" s="34"/>
      <c r="C279" s="35"/>
      <c r="D279" s="35"/>
      <c r="E279" s="35"/>
      <c r="F279" s="35"/>
      <c r="G279" s="33"/>
      <c r="H279" s="35"/>
      <c r="I279" s="35"/>
      <c r="J279" s="35"/>
      <c r="K279" s="33"/>
      <c r="L279" s="33"/>
      <c r="M279" s="34"/>
      <c r="N279" s="34"/>
      <c r="O279" s="34"/>
      <c r="P279" s="34" t="str">
        <f aca="false">IF(OR($D279="",$M279=""),"",IF(IFERROR(INDEX(Settings!$C$11:$C$19,MATCH($L279,Settings!$B$11:$B$19,0)),"Yes")="No","",MAX($M279,$O279)+Settings!$C$6))</f>
        <v/>
      </c>
      <c r="Q279" s="36" t="str">
        <f aca="true">IF($D279="","",IF(IFERROR(INDEX(Settings!$C$11:$C$19,MATCH($L279,Settings!$B$11:$B$19,0)),"Yes")="No","",IF($M279="",IF($N279="","",$N279-TODAY()),IF($P279="","",$P279-TODAY()))))</f>
        <v/>
      </c>
      <c r="R279" s="37" t="str">
        <f aca="true">IF($D279="","",IF(IFERROR(INDEX(Settings!$C$11:$C$19,MATCH($L279,Settings!$B$11:$B$19,0)),"Yes")="No","CLOSED",IF($M279="",IF($N279="","ON TRACK",IF($N279&lt;TODAY(),"OVERDUE",IF($N279-TODAY()&lt;=Settings!$C$5,"DUE SOON","ON TRACK"))),IF($P279&lt;=TODAY(),"FOLLOW-UP DUE","ON TRACK"))))</f>
        <v/>
      </c>
      <c r="S279" s="35"/>
      <c r="T279" s="35"/>
      <c r="U279" s="38"/>
      <c r="V279" s="34"/>
      <c r="W279" s="35" t="str">
        <f aca="false">IF(OR($R279="OVERDUE",$R279="DUE SOON",$R279="FOLLOW-UP DUE"),MAX(W$3:W278)+1,"")</f>
        <v/>
      </c>
    </row>
    <row r="280" customFormat="false" ht="15" hidden="false" customHeight="false" outlineLevel="0" collapsed="false">
      <c r="A280" s="33" t="str">
        <f aca="false">IF($D280="","","JOB-"&amp;TEXT(ROW()-3,"000"))</f>
        <v/>
      </c>
      <c r="B280" s="34"/>
      <c r="C280" s="35"/>
      <c r="D280" s="35"/>
      <c r="E280" s="35"/>
      <c r="F280" s="35"/>
      <c r="G280" s="33"/>
      <c r="H280" s="35"/>
      <c r="I280" s="35"/>
      <c r="J280" s="35"/>
      <c r="K280" s="33"/>
      <c r="L280" s="33"/>
      <c r="M280" s="34"/>
      <c r="N280" s="34"/>
      <c r="O280" s="34"/>
      <c r="P280" s="34" t="str">
        <f aca="false">IF(OR($D280="",$M280=""),"",IF(IFERROR(INDEX(Settings!$C$11:$C$19,MATCH($L280,Settings!$B$11:$B$19,0)),"Yes")="No","",MAX($M280,$O280)+Settings!$C$6))</f>
        <v/>
      </c>
      <c r="Q280" s="36" t="str">
        <f aca="true">IF($D280="","",IF(IFERROR(INDEX(Settings!$C$11:$C$19,MATCH($L280,Settings!$B$11:$B$19,0)),"Yes")="No","",IF($M280="",IF($N280="","",$N280-TODAY()),IF($P280="","",$P280-TODAY()))))</f>
        <v/>
      </c>
      <c r="R280" s="37" t="str">
        <f aca="true">IF($D280="","",IF(IFERROR(INDEX(Settings!$C$11:$C$19,MATCH($L280,Settings!$B$11:$B$19,0)),"Yes")="No","CLOSED",IF($M280="",IF($N280="","ON TRACK",IF($N280&lt;TODAY(),"OVERDUE",IF($N280-TODAY()&lt;=Settings!$C$5,"DUE SOON","ON TRACK"))),IF($P280&lt;=TODAY(),"FOLLOW-UP DUE","ON TRACK"))))</f>
        <v/>
      </c>
      <c r="S280" s="35"/>
      <c r="T280" s="35"/>
      <c r="U280" s="38"/>
      <c r="V280" s="34"/>
      <c r="W280" s="35" t="str">
        <f aca="false">IF(OR($R280="OVERDUE",$R280="DUE SOON",$R280="FOLLOW-UP DUE"),MAX(W$3:W279)+1,"")</f>
        <v/>
      </c>
    </row>
    <row r="281" customFormat="false" ht="15" hidden="false" customHeight="false" outlineLevel="0" collapsed="false">
      <c r="A281" s="33" t="str">
        <f aca="false">IF($D281="","","JOB-"&amp;TEXT(ROW()-3,"000"))</f>
        <v/>
      </c>
      <c r="B281" s="34"/>
      <c r="C281" s="35"/>
      <c r="D281" s="35"/>
      <c r="E281" s="35"/>
      <c r="F281" s="35"/>
      <c r="G281" s="33"/>
      <c r="H281" s="35"/>
      <c r="I281" s="35"/>
      <c r="J281" s="35"/>
      <c r="K281" s="33"/>
      <c r="L281" s="33"/>
      <c r="M281" s="34"/>
      <c r="N281" s="34"/>
      <c r="O281" s="34"/>
      <c r="P281" s="34" t="str">
        <f aca="false">IF(OR($D281="",$M281=""),"",IF(IFERROR(INDEX(Settings!$C$11:$C$19,MATCH($L281,Settings!$B$11:$B$19,0)),"Yes")="No","",MAX($M281,$O281)+Settings!$C$6))</f>
        <v/>
      </c>
      <c r="Q281" s="36" t="str">
        <f aca="true">IF($D281="","",IF(IFERROR(INDEX(Settings!$C$11:$C$19,MATCH($L281,Settings!$B$11:$B$19,0)),"Yes")="No","",IF($M281="",IF($N281="","",$N281-TODAY()),IF($P281="","",$P281-TODAY()))))</f>
        <v/>
      </c>
      <c r="R281" s="37" t="str">
        <f aca="true">IF($D281="","",IF(IFERROR(INDEX(Settings!$C$11:$C$19,MATCH($L281,Settings!$B$11:$B$19,0)),"Yes")="No","CLOSED",IF($M281="",IF($N281="","ON TRACK",IF($N281&lt;TODAY(),"OVERDUE",IF($N281-TODAY()&lt;=Settings!$C$5,"DUE SOON","ON TRACK"))),IF($P281&lt;=TODAY(),"FOLLOW-UP DUE","ON TRACK"))))</f>
        <v/>
      </c>
      <c r="S281" s="35"/>
      <c r="T281" s="35"/>
      <c r="U281" s="38"/>
      <c r="V281" s="34"/>
      <c r="W281" s="35" t="str">
        <f aca="false">IF(OR($R281="OVERDUE",$R281="DUE SOON",$R281="FOLLOW-UP DUE"),MAX(W$3:W280)+1,"")</f>
        <v/>
      </c>
    </row>
    <row r="282" customFormat="false" ht="15" hidden="false" customHeight="false" outlineLevel="0" collapsed="false">
      <c r="A282" s="33" t="str">
        <f aca="false">IF($D282="","","JOB-"&amp;TEXT(ROW()-3,"000"))</f>
        <v/>
      </c>
      <c r="B282" s="34"/>
      <c r="C282" s="35"/>
      <c r="D282" s="35"/>
      <c r="E282" s="35"/>
      <c r="F282" s="35"/>
      <c r="G282" s="33"/>
      <c r="H282" s="35"/>
      <c r="I282" s="35"/>
      <c r="J282" s="35"/>
      <c r="K282" s="33"/>
      <c r="L282" s="33"/>
      <c r="M282" s="34"/>
      <c r="N282" s="34"/>
      <c r="O282" s="34"/>
      <c r="P282" s="34" t="str">
        <f aca="false">IF(OR($D282="",$M282=""),"",IF(IFERROR(INDEX(Settings!$C$11:$C$19,MATCH($L282,Settings!$B$11:$B$19,0)),"Yes")="No","",MAX($M282,$O282)+Settings!$C$6))</f>
        <v/>
      </c>
      <c r="Q282" s="36" t="str">
        <f aca="true">IF($D282="","",IF(IFERROR(INDEX(Settings!$C$11:$C$19,MATCH($L282,Settings!$B$11:$B$19,0)),"Yes")="No","",IF($M282="",IF($N282="","",$N282-TODAY()),IF($P282="","",$P282-TODAY()))))</f>
        <v/>
      </c>
      <c r="R282" s="37" t="str">
        <f aca="true">IF($D282="","",IF(IFERROR(INDEX(Settings!$C$11:$C$19,MATCH($L282,Settings!$B$11:$B$19,0)),"Yes")="No","CLOSED",IF($M282="",IF($N282="","ON TRACK",IF($N282&lt;TODAY(),"OVERDUE",IF($N282-TODAY()&lt;=Settings!$C$5,"DUE SOON","ON TRACK"))),IF($P282&lt;=TODAY(),"FOLLOW-UP DUE","ON TRACK"))))</f>
        <v/>
      </c>
      <c r="S282" s="35"/>
      <c r="T282" s="35"/>
      <c r="U282" s="38"/>
      <c r="V282" s="34"/>
      <c r="W282" s="35" t="str">
        <f aca="false">IF(OR($R282="OVERDUE",$R282="DUE SOON",$R282="FOLLOW-UP DUE"),MAX(W$3:W281)+1,"")</f>
        <v/>
      </c>
    </row>
    <row r="283" customFormat="false" ht="15" hidden="false" customHeight="false" outlineLevel="0" collapsed="false">
      <c r="A283" s="33" t="str">
        <f aca="false">IF($D283="","","JOB-"&amp;TEXT(ROW()-3,"000"))</f>
        <v/>
      </c>
      <c r="B283" s="34"/>
      <c r="C283" s="35"/>
      <c r="D283" s="35"/>
      <c r="E283" s="35"/>
      <c r="F283" s="35"/>
      <c r="G283" s="33"/>
      <c r="H283" s="35"/>
      <c r="I283" s="35"/>
      <c r="J283" s="35"/>
      <c r="K283" s="33"/>
      <c r="L283" s="33"/>
      <c r="M283" s="34"/>
      <c r="N283" s="34"/>
      <c r="O283" s="34"/>
      <c r="P283" s="34" t="str">
        <f aca="false">IF(OR($D283="",$M283=""),"",IF(IFERROR(INDEX(Settings!$C$11:$C$19,MATCH($L283,Settings!$B$11:$B$19,0)),"Yes")="No","",MAX($M283,$O283)+Settings!$C$6))</f>
        <v/>
      </c>
      <c r="Q283" s="36" t="str">
        <f aca="true">IF($D283="","",IF(IFERROR(INDEX(Settings!$C$11:$C$19,MATCH($L283,Settings!$B$11:$B$19,0)),"Yes")="No","",IF($M283="",IF($N283="","",$N283-TODAY()),IF($P283="","",$P283-TODAY()))))</f>
        <v/>
      </c>
      <c r="R283" s="37" t="str">
        <f aca="true">IF($D283="","",IF(IFERROR(INDEX(Settings!$C$11:$C$19,MATCH($L283,Settings!$B$11:$B$19,0)),"Yes")="No","CLOSED",IF($M283="",IF($N283="","ON TRACK",IF($N283&lt;TODAY(),"OVERDUE",IF($N283-TODAY()&lt;=Settings!$C$5,"DUE SOON","ON TRACK"))),IF($P283&lt;=TODAY(),"FOLLOW-UP DUE","ON TRACK"))))</f>
        <v/>
      </c>
      <c r="S283" s="35"/>
      <c r="T283" s="35"/>
      <c r="U283" s="38"/>
      <c r="V283" s="34"/>
      <c r="W283" s="35" t="str">
        <f aca="false">IF(OR($R283="OVERDUE",$R283="DUE SOON",$R283="FOLLOW-UP DUE"),MAX(W$3:W282)+1,"")</f>
        <v/>
      </c>
    </row>
    <row r="284" customFormat="false" ht="15" hidden="false" customHeight="false" outlineLevel="0" collapsed="false">
      <c r="A284" s="33" t="str">
        <f aca="false">IF($D284="","","JOB-"&amp;TEXT(ROW()-3,"000"))</f>
        <v/>
      </c>
      <c r="B284" s="34"/>
      <c r="C284" s="35"/>
      <c r="D284" s="35"/>
      <c r="E284" s="35"/>
      <c r="F284" s="35"/>
      <c r="G284" s="33"/>
      <c r="H284" s="35"/>
      <c r="I284" s="35"/>
      <c r="J284" s="35"/>
      <c r="K284" s="33"/>
      <c r="L284" s="33"/>
      <c r="M284" s="34"/>
      <c r="N284" s="34"/>
      <c r="O284" s="34"/>
      <c r="P284" s="34" t="str">
        <f aca="false">IF(OR($D284="",$M284=""),"",IF(IFERROR(INDEX(Settings!$C$11:$C$19,MATCH($L284,Settings!$B$11:$B$19,0)),"Yes")="No","",MAX($M284,$O284)+Settings!$C$6))</f>
        <v/>
      </c>
      <c r="Q284" s="36" t="str">
        <f aca="true">IF($D284="","",IF(IFERROR(INDEX(Settings!$C$11:$C$19,MATCH($L284,Settings!$B$11:$B$19,0)),"Yes")="No","",IF($M284="",IF($N284="","",$N284-TODAY()),IF($P284="","",$P284-TODAY()))))</f>
        <v/>
      </c>
      <c r="R284" s="37" t="str">
        <f aca="true">IF($D284="","",IF(IFERROR(INDEX(Settings!$C$11:$C$19,MATCH($L284,Settings!$B$11:$B$19,0)),"Yes")="No","CLOSED",IF($M284="",IF($N284="","ON TRACK",IF($N284&lt;TODAY(),"OVERDUE",IF($N284-TODAY()&lt;=Settings!$C$5,"DUE SOON","ON TRACK"))),IF($P284&lt;=TODAY(),"FOLLOW-UP DUE","ON TRACK"))))</f>
        <v/>
      </c>
      <c r="S284" s="35"/>
      <c r="T284" s="35"/>
      <c r="U284" s="38"/>
      <c r="V284" s="34"/>
      <c r="W284" s="35" t="str">
        <f aca="false">IF(OR($R284="OVERDUE",$R284="DUE SOON",$R284="FOLLOW-UP DUE"),MAX(W$3:W283)+1,"")</f>
        <v/>
      </c>
    </row>
    <row r="285" customFormat="false" ht="15" hidden="false" customHeight="false" outlineLevel="0" collapsed="false">
      <c r="A285" s="33" t="str">
        <f aca="false">IF($D285="","","JOB-"&amp;TEXT(ROW()-3,"000"))</f>
        <v/>
      </c>
      <c r="B285" s="34"/>
      <c r="C285" s="35"/>
      <c r="D285" s="35"/>
      <c r="E285" s="35"/>
      <c r="F285" s="35"/>
      <c r="G285" s="33"/>
      <c r="H285" s="35"/>
      <c r="I285" s="35"/>
      <c r="J285" s="35"/>
      <c r="K285" s="33"/>
      <c r="L285" s="33"/>
      <c r="M285" s="34"/>
      <c r="N285" s="34"/>
      <c r="O285" s="34"/>
      <c r="P285" s="34" t="str">
        <f aca="false">IF(OR($D285="",$M285=""),"",IF(IFERROR(INDEX(Settings!$C$11:$C$19,MATCH($L285,Settings!$B$11:$B$19,0)),"Yes")="No","",MAX($M285,$O285)+Settings!$C$6))</f>
        <v/>
      </c>
      <c r="Q285" s="36" t="str">
        <f aca="true">IF($D285="","",IF(IFERROR(INDEX(Settings!$C$11:$C$19,MATCH($L285,Settings!$B$11:$B$19,0)),"Yes")="No","",IF($M285="",IF($N285="","",$N285-TODAY()),IF($P285="","",$P285-TODAY()))))</f>
        <v/>
      </c>
      <c r="R285" s="37" t="str">
        <f aca="true">IF($D285="","",IF(IFERROR(INDEX(Settings!$C$11:$C$19,MATCH($L285,Settings!$B$11:$B$19,0)),"Yes")="No","CLOSED",IF($M285="",IF($N285="","ON TRACK",IF($N285&lt;TODAY(),"OVERDUE",IF($N285-TODAY()&lt;=Settings!$C$5,"DUE SOON","ON TRACK"))),IF($P285&lt;=TODAY(),"FOLLOW-UP DUE","ON TRACK"))))</f>
        <v/>
      </c>
      <c r="S285" s="35"/>
      <c r="T285" s="35"/>
      <c r="U285" s="38"/>
      <c r="V285" s="34"/>
      <c r="W285" s="35" t="str">
        <f aca="false">IF(OR($R285="OVERDUE",$R285="DUE SOON",$R285="FOLLOW-UP DUE"),MAX(W$3:W284)+1,"")</f>
        <v/>
      </c>
    </row>
    <row r="286" customFormat="false" ht="15" hidden="false" customHeight="false" outlineLevel="0" collapsed="false">
      <c r="A286" s="33" t="str">
        <f aca="false">IF($D286="","","JOB-"&amp;TEXT(ROW()-3,"000"))</f>
        <v/>
      </c>
      <c r="B286" s="34"/>
      <c r="C286" s="35"/>
      <c r="D286" s="35"/>
      <c r="E286" s="35"/>
      <c r="F286" s="35"/>
      <c r="G286" s="33"/>
      <c r="H286" s="35"/>
      <c r="I286" s="35"/>
      <c r="J286" s="35"/>
      <c r="K286" s="33"/>
      <c r="L286" s="33"/>
      <c r="M286" s="34"/>
      <c r="N286" s="34"/>
      <c r="O286" s="34"/>
      <c r="P286" s="34" t="str">
        <f aca="false">IF(OR($D286="",$M286=""),"",IF(IFERROR(INDEX(Settings!$C$11:$C$19,MATCH($L286,Settings!$B$11:$B$19,0)),"Yes")="No","",MAX($M286,$O286)+Settings!$C$6))</f>
        <v/>
      </c>
      <c r="Q286" s="36" t="str">
        <f aca="true">IF($D286="","",IF(IFERROR(INDEX(Settings!$C$11:$C$19,MATCH($L286,Settings!$B$11:$B$19,0)),"Yes")="No","",IF($M286="",IF($N286="","",$N286-TODAY()),IF($P286="","",$P286-TODAY()))))</f>
        <v/>
      </c>
      <c r="R286" s="37" t="str">
        <f aca="true">IF($D286="","",IF(IFERROR(INDEX(Settings!$C$11:$C$19,MATCH($L286,Settings!$B$11:$B$19,0)),"Yes")="No","CLOSED",IF($M286="",IF($N286="","ON TRACK",IF($N286&lt;TODAY(),"OVERDUE",IF($N286-TODAY()&lt;=Settings!$C$5,"DUE SOON","ON TRACK"))),IF($P286&lt;=TODAY(),"FOLLOW-UP DUE","ON TRACK"))))</f>
        <v/>
      </c>
      <c r="S286" s="35"/>
      <c r="T286" s="35"/>
      <c r="U286" s="38"/>
      <c r="V286" s="34"/>
      <c r="W286" s="35" t="str">
        <f aca="false">IF(OR($R286="OVERDUE",$R286="DUE SOON",$R286="FOLLOW-UP DUE"),MAX(W$3:W285)+1,"")</f>
        <v/>
      </c>
    </row>
    <row r="287" customFormat="false" ht="15" hidden="false" customHeight="false" outlineLevel="0" collapsed="false">
      <c r="A287" s="33" t="str">
        <f aca="false">IF($D287="","","JOB-"&amp;TEXT(ROW()-3,"000"))</f>
        <v/>
      </c>
      <c r="B287" s="34"/>
      <c r="C287" s="35"/>
      <c r="D287" s="35"/>
      <c r="E287" s="35"/>
      <c r="F287" s="35"/>
      <c r="G287" s="33"/>
      <c r="H287" s="35"/>
      <c r="I287" s="35"/>
      <c r="J287" s="35"/>
      <c r="K287" s="33"/>
      <c r="L287" s="33"/>
      <c r="M287" s="34"/>
      <c r="N287" s="34"/>
      <c r="O287" s="34"/>
      <c r="P287" s="34" t="str">
        <f aca="false">IF(OR($D287="",$M287=""),"",IF(IFERROR(INDEX(Settings!$C$11:$C$19,MATCH($L287,Settings!$B$11:$B$19,0)),"Yes")="No","",MAX($M287,$O287)+Settings!$C$6))</f>
        <v/>
      </c>
      <c r="Q287" s="36" t="str">
        <f aca="true">IF($D287="","",IF(IFERROR(INDEX(Settings!$C$11:$C$19,MATCH($L287,Settings!$B$11:$B$19,0)),"Yes")="No","",IF($M287="",IF($N287="","",$N287-TODAY()),IF($P287="","",$P287-TODAY()))))</f>
        <v/>
      </c>
      <c r="R287" s="37" t="str">
        <f aca="true">IF($D287="","",IF(IFERROR(INDEX(Settings!$C$11:$C$19,MATCH($L287,Settings!$B$11:$B$19,0)),"Yes")="No","CLOSED",IF($M287="",IF($N287="","ON TRACK",IF($N287&lt;TODAY(),"OVERDUE",IF($N287-TODAY()&lt;=Settings!$C$5,"DUE SOON","ON TRACK"))),IF($P287&lt;=TODAY(),"FOLLOW-UP DUE","ON TRACK"))))</f>
        <v/>
      </c>
      <c r="S287" s="35"/>
      <c r="T287" s="35"/>
      <c r="U287" s="38"/>
      <c r="V287" s="34"/>
      <c r="W287" s="35" t="str">
        <f aca="false">IF(OR($R287="OVERDUE",$R287="DUE SOON",$R287="FOLLOW-UP DUE"),MAX(W$3:W286)+1,"")</f>
        <v/>
      </c>
    </row>
    <row r="288" customFormat="false" ht="15" hidden="false" customHeight="false" outlineLevel="0" collapsed="false">
      <c r="A288" s="33" t="str">
        <f aca="false">IF($D288="","","JOB-"&amp;TEXT(ROW()-3,"000"))</f>
        <v/>
      </c>
      <c r="B288" s="34"/>
      <c r="C288" s="35"/>
      <c r="D288" s="35"/>
      <c r="E288" s="35"/>
      <c r="F288" s="35"/>
      <c r="G288" s="33"/>
      <c r="H288" s="35"/>
      <c r="I288" s="35"/>
      <c r="J288" s="35"/>
      <c r="K288" s="33"/>
      <c r="L288" s="33"/>
      <c r="M288" s="34"/>
      <c r="N288" s="34"/>
      <c r="O288" s="34"/>
      <c r="P288" s="34" t="str">
        <f aca="false">IF(OR($D288="",$M288=""),"",IF(IFERROR(INDEX(Settings!$C$11:$C$19,MATCH($L288,Settings!$B$11:$B$19,0)),"Yes")="No","",MAX($M288,$O288)+Settings!$C$6))</f>
        <v/>
      </c>
      <c r="Q288" s="36" t="str">
        <f aca="true">IF($D288="","",IF(IFERROR(INDEX(Settings!$C$11:$C$19,MATCH($L288,Settings!$B$11:$B$19,0)),"Yes")="No","",IF($M288="",IF($N288="","",$N288-TODAY()),IF($P288="","",$P288-TODAY()))))</f>
        <v/>
      </c>
      <c r="R288" s="37" t="str">
        <f aca="true">IF($D288="","",IF(IFERROR(INDEX(Settings!$C$11:$C$19,MATCH($L288,Settings!$B$11:$B$19,0)),"Yes")="No","CLOSED",IF($M288="",IF($N288="","ON TRACK",IF($N288&lt;TODAY(),"OVERDUE",IF($N288-TODAY()&lt;=Settings!$C$5,"DUE SOON","ON TRACK"))),IF($P288&lt;=TODAY(),"FOLLOW-UP DUE","ON TRACK"))))</f>
        <v/>
      </c>
      <c r="S288" s="35"/>
      <c r="T288" s="35"/>
      <c r="U288" s="38"/>
      <c r="V288" s="34"/>
      <c r="W288" s="35" t="str">
        <f aca="false">IF(OR($R288="OVERDUE",$R288="DUE SOON",$R288="FOLLOW-UP DUE"),MAX(W$3:W287)+1,"")</f>
        <v/>
      </c>
    </row>
    <row r="289" customFormat="false" ht="15" hidden="false" customHeight="false" outlineLevel="0" collapsed="false">
      <c r="A289" s="33" t="str">
        <f aca="false">IF($D289="","","JOB-"&amp;TEXT(ROW()-3,"000"))</f>
        <v/>
      </c>
      <c r="B289" s="34"/>
      <c r="C289" s="35"/>
      <c r="D289" s="35"/>
      <c r="E289" s="35"/>
      <c r="F289" s="35"/>
      <c r="G289" s="33"/>
      <c r="H289" s="35"/>
      <c r="I289" s="35"/>
      <c r="J289" s="35"/>
      <c r="K289" s="33"/>
      <c r="L289" s="33"/>
      <c r="M289" s="34"/>
      <c r="N289" s="34"/>
      <c r="O289" s="34"/>
      <c r="P289" s="34" t="str">
        <f aca="false">IF(OR($D289="",$M289=""),"",IF(IFERROR(INDEX(Settings!$C$11:$C$19,MATCH($L289,Settings!$B$11:$B$19,0)),"Yes")="No","",MAX($M289,$O289)+Settings!$C$6))</f>
        <v/>
      </c>
      <c r="Q289" s="36" t="str">
        <f aca="true">IF($D289="","",IF(IFERROR(INDEX(Settings!$C$11:$C$19,MATCH($L289,Settings!$B$11:$B$19,0)),"Yes")="No","",IF($M289="",IF($N289="","",$N289-TODAY()),IF($P289="","",$P289-TODAY()))))</f>
        <v/>
      </c>
      <c r="R289" s="37" t="str">
        <f aca="true">IF($D289="","",IF(IFERROR(INDEX(Settings!$C$11:$C$19,MATCH($L289,Settings!$B$11:$B$19,0)),"Yes")="No","CLOSED",IF($M289="",IF($N289="","ON TRACK",IF($N289&lt;TODAY(),"OVERDUE",IF($N289-TODAY()&lt;=Settings!$C$5,"DUE SOON","ON TRACK"))),IF($P289&lt;=TODAY(),"FOLLOW-UP DUE","ON TRACK"))))</f>
        <v/>
      </c>
      <c r="S289" s="35"/>
      <c r="T289" s="35"/>
      <c r="U289" s="38"/>
      <c r="V289" s="34"/>
      <c r="W289" s="35" t="str">
        <f aca="false">IF(OR($R289="OVERDUE",$R289="DUE SOON",$R289="FOLLOW-UP DUE"),MAX(W$3:W288)+1,"")</f>
        <v/>
      </c>
    </row>
    <row r="290" customFormat="false" ht="15" hidden="false" customHeight="false" outlineLevel="0" collapsed="false">
      <c r="A290" s="33" t="str">
        <f aca="false">IF($D290="","","JOB-"&amp;TEXT(ROW()-3,"000"))</f>
        <v/>
      </c>
      <c r="B290" s="34"/>
      <c r="C290" s="35"/>
      <c r="D290" s="35"/>
      <c r="E290" s="35"/>
      <c r="F290" s="35"/>
      <c r="G290" s="33"/>
      <c r="H290" s="35"/>
      <c r="I290" s="35"/>
      <c r="J290" s="35"/>
      <c r="K290" s="33"/>
      <c r="L290" s="33"/>
      <c r="M290" s="34"/>
      <c r="N290" s="34"/>
      <c r="O290" s="34"/>
      <c r="P290" s="34" t="str">
        <f aca="false">IF(OR($D290="",$M290=""),"",IF(IFERROR(INDEX(Settings!$C$11:$C$19,MATCH($L290,Settings!$B$11:$B$19,0)),"Yes")="No","",MAX($M290,$O290)+Settings!$C$6))</f>
        <v/>
      </c>
      <c r="Q290" s="36" t="str">
        <f aca="true">IF($D290="","",IF(IFERROR(INDEX(Settings!$C$11:$C$19,MATCH($L290,Settings!$B$11:$B$19,0)),"Yes")="No","",IF($M290="",IF($N290="","",$N290-TODAY()),IF($P290="","",$P290-TODAY()))))</f>
        <v/>
      </c>
      <c r="R290" s="37" t="str">
        <f aca="true">IF($D290="","",IF(IFERROR(INDEX(Settings!$C$11:$C$19,MATCH($L290,Settings!$B$11:$B$19,0)),"Yes")="No","CLOSED",IF($M290="",IF($N290="","ON TRACK",IF($N290&lt;TODAY(),"OVERDUE",IF($N290-TODAY()&lt;=Settings!$C$5,"DUE SOON","ON TRACK"))),IF($P290&lt;=TODAY(),"FOLLOW-UP DUE","ON TRACK"))))</f>
        <v/>
      </c>
      <c r="S290" s="35"/>
      <c r="T290" s="35"/>
      <c r="U290" s="38"/>
      <c r="V290" s="34"/>
      <c r="W290" s="35" t="str">
        <f aca="false">IF(OR($R290="OVERDUE",$R290="DUE SOON",$R290="FOLLOW-UP DUE"),MAX(W$3:W289)+1,"")</f>
        <v/>
      </c>
    </row>
    <row r="291" customFormat="false" ht="15" hidden="false" customHeight="false" outlineLevel="0" collapsed="false">
      <c r="A291" s="33" t="str">
        <f aca="false">IF($D291="","","JOB-"&amp;TEXT(ROW()-3,"000"))</f>
        <v/>
      </c>
      <c r="B291" s="34"/>
      <c r="C291" s="35"/>
      <c r="D291" s="35"/>
      <c r="E291" s="35"/>
      <c r="F291" s="35"/>
      <c r="G291" s="33"/>
      <c r="H291" s="35"/>
      <c r="I291" s="35"/>
      <c r="J291" s="35"/>
      <c r="K291" s="33"/>
      <c r="L291" s="33"/>
      <c r="M291" s="34"/>
      <c r="N291" s="34"/>
      <c r="O291" s="34"/>
      <c r="P291" s="34" t="str">
        <f aca="false">IF(OR($D291="",$M291=""),"",IF(IFERROR(INDEX(Settings!$C$11:$C$19,MATCH($L291,Settings!$B$11:$B$19,0)),"Yes")="No","",MAX($M291,$O291)+Settings!$C$6))</f>
        <v/>
      </c>
      <c r="Q291" s="36" t="str">
        <f aca="true">IF($D291="","",IF(IFERROR(INDEX(Settings!$C$11:$C$19,MATCH($L291,Settings!$B$11:$B$19,0)),"Yes")="No","",IF($M291="",IF($N291="","",$N291-TODAY()),IF($P291="","",$P291-TODAY()))))</f>
        <v/>
      </c>
      <c r="R291" s="37" t="str">
        <f aca="true">IF($D291="","",IF(IFERROR(INDEX(Settings!$C$11:$C$19,MATCH($L291,Settings!$B$11:$B$19,0)),"Yes")="No","CLOSED",IF($M291="",IF($N291="","ON TRACK",IF($N291&lt;TODAY(),"OVERDUE",IF($N291-TODAY()&lt;=Settings!$C$5,"DUE SOON","ON TRACK"))),IF($P291&lt;=TODAY(),"FOLLOW-UP DUE","ON TRACK"))))</f>
        <v/>
      </c>
      <c r="S291" s="35"/>
      <c r="T291" s="35"/>
      <c r="U291" s="38"/>
      <c r="V291" s="34"/>
      <c r="W291" s="35" t="str">
        <f aca="false">IF(OR($R291="OVERDUE",$R291="DUE SOON",$R291="FOLLOW-UP DUE"),MAX(W$3:W290)+1,"")</f>
        <v/>
      </c>
    </row>
    <row r="292" customFormat="false" ht="15" hidden="false" customHeight="false" outlineLevel="0" collapsed="false">
      <c r="A292" s="33" t="str">
        <f aca="false">IF($D292="","","JOB-"&amp;TEXT(ROW()-3,"000"))</f>
        <v/>
      </c>
      <c r="B292" s="34"/>
      <c r="C292" s="35"/>
      <c r="D292" s="35"/>
      <c r="E292" s="35"/>
      <c r="F292" s="35"/>
      <c r="G292" s="33"/>
      <c r="H292" s="35"/>
      <c r="I292" s="35"/>
      <c r="J292" s="35"/>
      <c r="K292" s="33"/>
      <c r="L292" s="33"/>
      <c r="M292" s="34"/>
      <c r="N292" s="34"/>
      <c r="O292" s="34"/>
      <c r="P292" s="34" t="str">
        <f aca="false">IF(OR($D292="",$M292=""),"",IF(IFERROR(INDEX(Settings!$C$11:$C$19,MATCH($L292,Settings!$B$11:$B$19,0)),"Yes")="No","",MAX($M292,$O292)+Settings!$C$6))</f>
        <v/>
      </c>
      <c r="Q292" s="36" t="str">
        <f aca="true">IF($D292="","",IF(IFERROR(INDEX(Settings!$C$11:$C$19,MATCH($L292,Settings!$B$11:$B$19,0)),"Yes")="No","",IF($M292="",IF($N292="","",$N292-TODAY()),IF($P292="","",$P292-TODAY()))))</f>
        <v/>
      </c>
      <c r="R292" s="37" t="str">
        <f aca="true">IF($D292="","",IF(IFERROR(INDEX(Settings!$C$11:$C$19,MATCH($L292,Settings!$B$11:$B$19,0)),"Yes")="No","CLOSED",IF($M292="",IF($N292="","ON TRACK",IF($N292&lt;TODAY(),"OVERDUE",IF($N292-TODAY()&lt;=Settings!$C$5,"DUE SOON","ON TRACK"))),IF($P292&lt;=TODAY(),"FOLLOW-UP DUE","ON TRACK"))))</f>
        <v/>
      </c>
      <c r="S292" s="35"/>
      <c r="T292" s="35"/>
      <c r="U292" s="38"/>
      <c r="V292" s="34"/>
      <c r="W292" s="35" t="str">
        <f aca="false">IF(OR($R292="OVERDUE",$R292="DUE SOON",$R292="FOLLOW-UP DUE"),MAX(W$3:W291)+1,"")</f>
        <v/>
      </c>
    </row>
    <row r="293" customFormat="false" ht="15" hidden="false" customHeight="false" outlineLevel="0" collapsed="false">
      <c r="A293" s="33" t="str">
        <f aca="false">IF($D293="","","JOB-"&amp;TEXT(ROW()-3,"000"))</f>
        <v/>
      </c>
      <c r="B293" s="34"/>
      <c r="C293" s="35"/>
      <c r="D293" s="35"/>
      <c r="E293" s="35"/>
      <c r="F293" s="35"/>
      <c r="G293" s="33"/>
      <c r="H293" s="35"/>
      <c r="I293" s="35"/>
      <c r="J293" s="35"/>
      <c r="K293" s="33"/>
      <c r="L293" s="33"/>
      <c r="M293" s="34"/>
      <c r="N293" s="34"/>
      <c r="O293" s="34"/>
      <c r="P293" s="34" t="str">
        <f aca="false">IF(OR($D293="",$M293=""),"",IF(IFERROR(INDEX(Settings!$C$11:$C$19,MATCH($L293,Settings!$B$11:$B$19,0)),"Yes")="No","",MAX($M293,$O293)+Settings!$C$6))</f>
        <v/>
      </c>
      <c r="Q293" s="36" t="str">
        <f aca="true">IF($D293="","",IF(IFERROR(INDEX(Settings!$C$11:$C$19,MATCH($L293,Settings!$B$11:$B$19,0)),"Yes")="No","",IF($M293="",IF($N293="","",$N293-TODAY()),IF($P293="","",$P293-TODAY()))))</f>
        <v/>
      </c>
      <c r="R293" s="37" t="str">
        <f aca="true">IF($D293="","",IF(IFERROR(INDEX(Settings!$C$11:$C$19,MATCH($L293,Settings!$B$11:$B$19,0)),"Yes")="No","CLOSED",IF($M293="",IF($N293="","ON TRACK",IF($N293&lt;TODAY(),"OVERDUE",IF($N293-TODAY()&lt;=Settings!$C$5,"DUE SOON","ON TRACK"))),IF($P293&lt;=TODAY(),"FOLLOW-UP DUE","ON TRACK"))))</f>
        <v/>
      </c>
      <c r="S293" s="35"/>
      <c r="T293" s="35"/>
      <c r="U293" s="38"/>
      <c r="V293" s="34"/>
      <c r="W293" s="35" t="str">
        <f aca="false">IF(OR($R293="OVERDUE",$R293="DUE SOON",$R293="FOLLOW-UP DUE"),MAX(W$3:W292)+1,"")</f>
        <v/>
      </c>
    </row>
    <row r="294" customFormat="false" ht="15" hidden="false" customHeight="false" outlineLevel="0" collapsed="false">
      <c r="A294" s="33" t="str">
        <f aca="false">IF($D294="","","JOB-"&amp;TEXT(ROW()-3,"000"))</f>
        <v/>
      </c>
      <c r="B294" s="34"/>
      <c r="C294" s="35"/>
      <c r="D294" s="35"/>
      <c r="E294" s="35"/>
      <c r="F294" s="35"/>
      <c r="G294" s="33"/>
      <c r="H294" s="35"/>
      <c r="I294" s="35"/>
      <c r="J294" s="35"/>
      <c r="K294" s="33"/>
      <c r="L294" s="33"/>
      <c r="M294" s="34"/>
      <c r="N294" s="34"/>
      <c r="O294" s="34"/>
      <c r="P294" s="34" t="str">
        <f aca="false">IF(OR($D294="",$M294=""),"",IF(IFERROR(INDEX(Settings!$C$11:$C$19,MATCH($L294,Settings!$B$11:$B$19,0)),"Yes")="No","",MAX($M294,$O294)+Settings!$C$6))</f>
        <v/>
      </c>
      <c r="Q294" s="36" t="str">
        <f aca="true">IF($D294="","",IF(IFERROR(INDEX(Settings!$C$11:$C$19,MATCH($L294,Settings!$B$11:$B$19,0)),"Yes")="No","",IF($M294="",IF($N294="","",$N294-TODAY()),IF($P294="","",$P294-TODAY()))))</f>
        <v/>
      </c>
      <c r="R294" s="37" t="str">
        <f aca="true">IF($D294="","",IF(IFERROR(INDEX(Settings!$C$11:$C$19,MATCH($L294,Settings!$B$11:$B$19,0)),"Yes")="No","CLOSED",IF($M294="",IF($N294="","ON TRACK",IF($N294&lt;TODAY(),"OVERDUE",IF($N294-TODAY()&lt;=Settings!$C$5,"DUE SOON","ON TRACK"))),IF($P294&lt;=TODAY(),"FOLLOW-UP DUE","ON TRACK"))))</f>
        <v/>
      </c>
      <c r="S294" s="35"/>
      <c r="T294" s="35"/>
      <c r="U294" s="38"/>
      <c r="V294" s="34"/>
      <c r="W294" s="35" t="str">
        <f aca="false">IF(OR($R294="OVERDUE",$R294="DUE SOON",$R294="FOLLOW-UP DUE"),MAX(W$3:W293)+1,"")</f>
        <v/>
      </c>
    </row>
    <row r="295" customFormat="false" ht="15" hidden="false" customHeight="false" outlineLevel="0" collapsed="false">
      <c r="A295" s="33" t="str">
        <f aca="false">IF($D295="","","JOB-"&amp;TEXT(ROW()-3,"000"))</f>
        <v/>
      </c>
      <c r="B295" s="34"/>
      <c r="C295" s="35"/>
      <c r="D295" s="35"/>
      <c r="E295" s="35"/>
      <c r="F295" s="35"/>
      <c r="G295" s="33"/>
      <c r="H295" s="35"/>
      <c r="I295" s="35"/>
      <c r="J295" s="35"/>
      <c r="K295" s="33"/>
      <c r="L295" s="33"/>
      <c r="M295" s="34"/>
      <c r="N295" s="34"/>
      <c r="O295" s="34"/>
      <c r="P295" s="34" t="str">
        <f aca="false">IF(OR($D295="",$M295=""),"",IF(IFERROR(INDEX(Settings!$C$11:$C$19,MATCH($L295,Settings!$B$11:$B$19,0)),"Yes")="No","",MAX($M295,$O295)+Settings!$C$6))</f>
        <v/>
      </c>
      <c r="Q295" s="36" t="str">
        <f aca="true">IF($D295="","",IF(IFERROR(INDEX(Settings!$C$11:$C$19,MATCH($L295,Settings!$B$11:$B$19,0)),"Yes")="No","",IF($M295="",IF($N295="","",$N295-TODAY()),IF($P295="","",$P295-TODAY()))))</f>
        <v/>
      </c>
      <c r="R295" s="37" t="str">
        <f aca="true">IF($D295="","",IF(IFERROR(INDEX(Settings!$C$11:$C$19,MATCH($L295,Settings!$B$11:$B$19,0)),"Yes")="No","CLOSED",IF($M295="",IF($N295="","ON TRACK",IF($N295&lt;TODAY(),"OVERDUE",IF($N295-TODAY()&lt;=Settings!$C$5,"DUE SOON","ON TRACK"))),IF($P295&lt;=TODAY(),"FOLLOW-UP DUE","ON TRACK"))))</f>
        <v/>
      </c>
      <c r="S295" s="35"/>
      <c r="T295" s="35"/>
      <c r="U295" s="38"/>
      <c r="V295" s="34"/>
      <c r="W295" s="35" t="str">
        <f aca="false">IF(OR($R295="OVERDUE",$R295="DUE SOON",$R295="FOLLOW-UP DUE"),MAX(W$3:W294)+1,"")</f>
        <v/>
      </c>
    </row>
    <row r="296" customFormat="false" ht="15" hidden="false" customHeight="false" outlineLevel="0" collapsed="false">
      <c r="A296" s="33" t="str">
        <f aca="false">IF($D296="","","JOB-"&amp;TEXT(ROW()-3,"000"))</f>
        <v/>
      </c>
      <c r="B296" s="34"/>
      <c r="C296" s="35"/>
      <c r="D296" s="35"/>
      <c r="E296" s="35"/>
      <c r="F296" s="35"/>
      <c r="G296" s="33"/>
      <c r="H296" s="35"/>
      <c r="I296" s="35"/>
      <c r="J296" s="35"/>
      <c r="K296" s="33"/>
      <c r="L296" s="33"/>
      <c r="M296" s="34"/>
      <c r="N296" s="34"/>
      <c r="O296" s="34"/>
      <c r="P296" s="34" t="str">
        <f aca="false">IF(OR($D296="",$M296=""),"",IF(IFERROR(INDEX(Settings!$C$11:$C$19,MATCH($L296,Settings!$B$11:$B$19,0)),"Yes")="No","",MAX($M296,$O296)+Settings!$C$6))</f>
        <v/>
      </c>
      <c r="Q296" s="36" t="str">
        <f aca="true">IF($D296="","",IF(IFERROR(INDEX(Settings!$C$11:$C$19,MATCH($L296,Settings!$B$11:$B$19,0)),"Yes")="No","",IF($M296="",IF($N296="","",$N296-TODAY()),IF($P296="","",$P296-TODAY()))))</f>
        <v/>
      </c>
      <c r="R296" s="37" t="str">
        <f aca="true">IF($D296="","",IF(IFERROR(INDEX(Settings!$C$11:$C$19,MATCH($L296,Settings!$B$11:$B$19,0)),"Yes")="No","CLOSED",IF($M296="",IF($N296="","ON TRACK",IF($N296&lt;TODAY(),"OVERDUE",IF($N296-TODAY()&lt;=Settings!$C$5,"DUE SOON","ON TRACK"))),IF($P296&lt;=TODAY(),"FOLLOW-UP DUE","ON TRACK"))))</f>
        <v/>
      </c>
      <c r="S296" s="35"/>
      <c r="T296" s="35"/>
      <c r="U296" s="38"/>
      <c r="V296" s="34"/>
      <c r="W296" s="35" t="str">
        <f aca="false">IF(OR($R296="OVERDUE",$R296="DUE SOON",$R296="FOLLOW-UP DUE"),MAX(W$3:W295)+1,"")</f>
        <v/>
      </c>
    </row>
    <row r="297" customFormat="false" ht="15" hidden="false" customHeight="false" outlineLevel="0" collapsed="false">
      <c r="A297" s="33" t="str">
        <f aca="false">IF($D297="","","JOB-"&amp;TEXT(ROW()-3,"000"))</f>
        <v/>
      </c>
      <c r="B297" s="34"/>
      <c r="C297" s="35"/>
      <c r="D297" s="35"/>
      <c r="E297" s="35"/>
      <c r="F297" s="35"/>
      <c r="G297" s="33"/>
      <c r="H297" s="35"/>
      <c r="I297" s="35"/>
      <c r="J297" s="35"/>
      <c r="K297" s="33"/>
      <c r="L297" s="33"/>
      <c r="M297" s="34"/>
      <c r="N297" s="34"/>
      <c r="O297" s="34"/>
      <c r="P297" s="34" t="str">
        <f aca="false">IF(OR($D297="",$M297=""),"",IF(IFERROR(INDEX(Settings!$C$11:$C$19,MATCH($L297,Settings!$B$11:$B$19,0)),"Yes")="No","",MAX($M297,$O297)+Settings!$C$6))</f>
        <v/>
      </c>
      <c r="Q297" s="36" t="str">
        <f aca="true">IF($D297="","",IF(IFERROR(INDEX(Settings!$C$11:$C$19,MATCH($L297,Settings!$B$11:$B$19,0)),"Yes")="No","",IF($M297="",IF($N297="","",$N297-TODAY()),IF($P297="","",$P297-TODAY()))))</f>
        <v/>
      </c>
      <c r="R297" s="37" t="str">
        <f aca="true">IF($D297="","",IF(IFERROR(INDEX(Settings!$C$11:$C$19,MATCH($L297,Settings!$B$11:$B$19,0)),"Yes")="No","CLOSED",IF($M297="",IF($N297="","ON TRACK",IF($N297&lt;TODAY(),"OVERDUE",IF($N297-TODAY()&lt;=Settings!$C$5,"DUE SOON","ON TRACK"))),IF($P297&lt;=TODAY(),"FOLLOW-UP DUE","ON TRACK"))))</f>
        <v/>
      </c>
      <c r="S297" s="35"/>
      <c r="T297" s="35"/>
      <c r="U297" s="38"/>
      <c r="V297" s="34"/>
      <c r="W297" s="35" t="str">
        <f aca="false">IF(OR($R297="OVERDUE",$R297="DUE SOON",$R297="FOLLOW-UP DUE"),MAX(W$3:W296)+1,"")</f>
        <v/>
      </c>
    </row>
    <row r="298" customFormat="false" ht="15" hidden="false" customHeight="false" outlineLevel="0" collapsed="false">
      <c r="A298" s="33" t="str">
        <f aca="false">IF($D298="","","JOB-"&amp;TEXT(ROW()-3,"000"))</f>
        <v/>
      </c>
      <c r="B298" s="34"/>
      <c r="C298" s="35"/>
      <c r="D298" s="35"/>
      <c r="E298" s="35"/>
      <c r="F298" s="35"/>
      <c r="G298" s="33"/>
      <c r="H298" s="35"/>
      <c r="I298" s="35"/>
      <c r="J298" s="35"/>
      <c r="K298" s="33"/>
      <c r="L298" s="33"/>
      <c r="M298" s="34"/>
      <c r="N298" s="34"/>
      <c r="O298" s="34"/>
      <c r="P298" s="34" t="str">
        <f aca="false">IF(OR($D298="",$M298=""),"",IF(IFERROR(INDEX(Settings!$C$11:$C$19,MATCH($L298,Settings!$B$11:$B$19,0)),"Yes")="No","",MAX($M298,$O298)+Settings!$C$6))</f>
        <v/>
      </c>
      <c r="Q298" s="36" t="str">
        <f aca="true">IF($D298="","",IF(IFERROR(INDEX(Settings!$C$11:$C$19,MATCH($L298,Settings!$B$11:$B$19,0)),"Yes")="No","",IF($M298="",IF($N298="","",$N298-TODAY()),IF($P298="","",$P298-TODAY()))))</f>
        <v/>
      </c>
      <c r="R298" s="37" t="str">
        <f aca="true">IF($D298="","",IF(IFERROR(INDEX(Settings!$C$11:$C$19,MATCH($L298,Settings!$B$11:$B$19,0)),"Yes")="No","CLOSED",IF($M298="",IF($N298="","ON TRACK",IF($N298&lt;TODAY(),"OVERDUE",IF($N298-TODAY()&lt;=Settings!$C$5,"DUE SOON","ON TRACK"))),IF($P298&lt;=TODAY(),"FOLLOW-UP DUE","ON TRACK"))))</f>
        <v/>
      </c>
      <c r="S298" s="35"/>
      <c r="T298" s="35"/>
      <c r="U298" s="38"/>
      <c r="V298" s="34"/>
      <c r="W298" s="35" t="str">
        <f aca="false">IF(OR($R298="OVERDUE",$R298="DUE SOON",$R298="FOLLOW-UP DUE"),MAX(W$3:W297)+1,"")</f>
        <v/>
      </c>
    </row>
    <row r="299" customFormat="false" ht="15" hidden="false" customHeight="false" outlineLevel="0" collapsed="false">
      <c r="A299" s="33" t="str">
        <f aca="false">IF($D299="","","JOB-"&amp;TEXT(ROW()-3,"000"))</f>
        <v/>
      </c>
      <c r="B299" s="34"/>
      <c r="C299" s="35"/>
      <c r="D299" s="35"/>
      <c r="E299" s="35"/>
      <c r="F299" s="35"/>
      <c r="G299" s="33"/>
      <c r="H299" s="35"/>
      <c r="I299" s="35"/>
      <c r="J299" s="35"/>
      <c r="K299" s="33"/>
      <c r="L299" s="33"/>
      <c r="M299" s="34"/>
      <c r="N299" s="34"/>
      <c r="O299" s="34"/>
      <c r="P299" s="34" t="str">
        <f aca="false">IF(OR($D299="",$M299=""),"",IF(IFERROR(INDEX(Settings!$C$11:$C$19,MATCH($L299,Settings!$B$11:$B$19,0)),"Yes")="No","",MAX($M299,$O299)+Settings!$C$6))</f>
        <v/>
      </c>
      <c r="Q299" s="36" t="str">
        <f aca="true">IF($D299="","",IF(IFERROR(INDEX(Settings!$C$11:$C$19,MATCH($L299,Settings!$B$11:$B$19,0)),"Yes")="No","",IF($M299="",IF($N299="","",$N299-TODAY()),IF($P299="","",$P299-TODAY()))))</f>
        <v/>
      </c>
      <c r="R299" s="37" t="str">
        <f aca="true">IF($D299="","",IF(IFERROR(INDEX(Settings!$C$11:$C$19,MATCH($L299,Settings!$B$11:$B$19,0)),"Yes")="No","CLOSED",IF($M299="",IF($N299="","ON TRACK",IF($N299&lt;TODAY(),"OVERDUE",IF($N299-TODAY()&lt;=Settings!$C$5,"DUE SOON","ON TRACK"))),IF($P299&lt;=TODAY(),"FOLLOW-UP DUE","ON TRACK"))))</f>
        <v/>
      </c>
      <c r="S299" s="35"/>
      <c r="T299" s="35"/>
      <c r="U299" s="38"/>
      <c r="V299" s="34"/>
      <c r="W299" s="35" t="str">
        <f aca="false">IF(OR($R299="OVERDUE",$R299="DUE SOON",$R299="FOLLOW-UP DUE"),MAX(W$3:W298)+1,"")</f>
        <v/>
      </c>
    </row>
    <row r="300" customFormat="false" ht="15" hidden="false" customHeight="false" outlineLevel="0" collapsed="false">
      <c r="A300" s="33" t="str">
        <f aca="false">IF($D300="","","JOB-"&amp;TEXT(ROW()-3,"000"))</f>
        <v/>
      </c>
      <c r="B300" s="34"/>
      <c r="C300" s="35"/>
      <c r="D300" s="35"/>
      <c r="E300" s="35"/>
      <c r="F300" s="35"/>
      <c r="G300" s="33"/>
      <c r="H300" s="35"/>
      <c r="I300" s="35"/>
      <c r="J300" s="35"/>
      <c r="K300" s="33"/>
      <c r="L300" s="33"/>
      <c r="M300" s="34"/>
      <c r="N300" s="34"/>
      <c r="O300" s="34"/>
      <c r="P300" s="34" t="str">
        <f aca="false">IF(OR($D300="",$M300=""),"",IF(IFERROR(INDEX(Settings!$C$11:$C$19,MATCH($L300,Settings!$B$11:$B$19,0)),"Yes")="No","",MAX($M300,$O300)+Settings!$C$6))</f>
        <v/>
      </c>
      <c r="Q300" s="36" t="str">
        <f aca="true">IF($D300="","",IF(IFERROR(INDEX(Settings!$C$11:$C$19,MATCH($L300,Settings!$B$11:$B$19,0)),"Yes")="No","",IF($M300="",IF($N300="","",$N300-TODAY()),IF($P300="","",$P300-TODAY()))))</f>
        <v/>
      </c>
      <c r="R300" s="37" t="str">
        <f aca="true">IF($D300="","",IF(IFERROR(INDEX(Settings!$C$11:$C$19,MATCH($L300,Settings!$B$11:$B$19,0)),"Yes")="No","CLOSED",IF($M300="",IF($N300="","ON TRACK",IF($N300&lt;TODAY(),"OVERDUE",IF($N300-TODAY()&lt;=Settings!$C$5,"DUE SOON","ON TRACK"))),IF($P300&lt;=TODAY(),"FOLLOW-UP DUE","ON TRACK"))))</f>
        <v/>
      </c>
      <c r="S300" s="35"/>
      <c r="T300" s="35"/>
      <c r="U300" s="38"/>
      <c r="V300" s="34"/>
      <c r="W300" s="35" t="str">
        <f aca="false">IF(OR($R300="OVERDUE",$R300="DUE SOON",$R300="FOLLOW-UP DUE"),MAX(W$3:W299)+1,"")</f>
        <v/>
      </c>
    </row>
    <row r="301" customFormat="false" ht="15" hidden="false" customHeight="false" outlineLevel="0" collapsed="false">
      <c r="A301" s="33" t="str">
        <f aca="false">IF($D301="","","JOB-"&amp;TEXT(ROW()-3,"000"))</f>
        <v/>
      </c>
      <c r="B301" s="34"/>
      <c r="C301" s="35"/>
      <c r="D301" s="35"/>
      <c r="E301" s="35"/>
      <c r="F301" s="35"/>
      <c r="G301" s="33"/>
      <c r="H301" s="35"/>
      <c r="I301" s="35"/>
      <c r="J301" s="35"/>
      <c r="K301" s="33"/>
      <c r="L301" s="33"/>
      <c r="M301" s="34"/>
      <c r="N301" s="34"/>
      <c r="O301" s="34"/>
      <c r="P301" s="34" t="str">
        <f aca="false">IF(OR($D301="",$M301=""),"",IF(IFERROR(INDEX(Settings!$C$11:$C$19,MATCH($L301,Settings!$B$11:$B$19,0)),"Yes")="No","",MAX($M301,$O301)+Settings!$C$6))</f>
        <v/>
      </c>
      <c r="Q301" s="36" t="str">
        <f aca="true">IF($D301="","",IF(IFERROR(INDEX(Settings!$C$11:$C$19,MATCH($L301,Settings!$B$11:$B$19,0)),"Yes")="No","",IF($M301="",IF($N301="","",$N301-TODAY()),IF($P301="","",$P301-TODAY()))))</f>
        <v/>
      </c>
      <c r="R301" s="37" t="str">
        <f aca="true">IF($D301="","",IF(IFERROR(INDEX(Settings!$C$11:$C$19,MATCH($L301,Settings!$B$11:$B$19,0)),"Yes")="No","CLOSED",IF($M301="",IF($N301="","ON TRACK",IF($N301&lt;TODAY(),"OVERDUE",IF($N301-TODAY()&lt;=Settings!$C$5,"DUE SOON","ON TRACK"))),IF($P301&lt;=TODAY(),"FOLLOW-UP DUE","ON TRACK"))))</f>
        <v/>
      </c>
      <c r="S301" s="35"/>
      <c r="T301" s="35"/>
      <c r="U301" s="38"/>
      <c r="V301" s="34"/>
      <c r="W301" s="35" t="str">
        <f aca="false">IF(OR($R301="OVERDUE",$R301="DUE SOON",$R301="FOLLOW-UP DUE"),MAX(W$3:W300)+1,"")</f>
        <v/>
      </c>
    </row>
    <row r="302" customFormat="false" ht="15" hidden="false" customHeight="false" outlineLevel="0" collapsed="false">
      <c r="A302" s="33" t="str">
        <f aca="false">IF($D302="","","JOB-"&amp;TEXT(ROW()-3,"000"))</f>
        <v/>
      </c>
      <c r="B302" s="34"/>
      <c r="C302" s="35"/>
      <c r="D302" s="35"/>
      <c r="E302" s="35"/>
      <c r="F302" s="35"/>
      <c r="G302" s="33"/>
      <c r="H302" s="35"/>
      <c r="I302" s="35"/>
      <c r="J302" s="35"/>
      <c r="K302" s="33"/>
      <c r="L302" s="33"/>
      <c r="M302" s="34"/>
      <c r="N302" s="34"/>
      <c r="O302" s="34"/>
      <c r="P302" s="34" t="str">
        <f aca="false">IF(OR($D302="",$M302=""),"",IF(IFERROR(INDEX(Settings!$C$11:$C$19,MATCH($L302,Settings!$B$11:$B$19,0)),"Yes")="No","",MAX($M302,$O302)+Settings!$C$6))</f>
        <v/>
      </c>
      <c r="Q302" s="36" t="str">
        <f aca="true">IF($D302="","",IF(IFERROR(INDEX(Settings!$C$11:$C$19,MATCH($L302,Settings!$B$11:$B$19,0)),"Yes")="No","",IF($M302="",IF($N302="","",$N302-TODAY()),IF($P302="","",$P302-TODAY()))))</f>
        <v/>
      </c>
      <c r="R302" s="37" t="str">
        <f aca="true">IF($D302="","",IF(IFERROR(INDEX(Settings!$C$11:$C$19,MATCH($L302,Settings!$B$11:$B$19,0)),"Yes")="No","CLOSED",IF($M302="",IF($N302="","ON TRACK",IF($N302&lt;TODAY(),"OVERDUE",IF($N302-TODAY()&lt;=Settings!$C$5,"DUE SOON","ON TRACK"))),IF($P302&lt;=TODAY(),"FOLLOW-UP DUE","ON TRACK"))))</f>
        <v/>
      </c>
      <c r="S302" s="35"/>
      <c r="T302" s="35"/>
      <c r="U302" s="38"/>
      <c r="V302" s="34"/>
      <c r="W302" s="35" t="str">
        <f aca="false">IF(OR($R302="OVERDUE",$R302="DUE SOON",$R302="FOLLOW-UP DUE"),MAX(W$3:W301)+1,"")</f>
        <v/>
      </c>
    </row>
    <row r="303" customFormat="false" ht="15" hidden="false" customHeight="false" outlineLevel="0" collapsed="false">
      <c r="A303" s="33" t="str">
        <f aca="false">IF($D303="","","JOB-"&amp;TEXT(ROW()-3,"000"))</f>
        <v/>
      </c>
      <c r="B303" s="34"/>
      <c r="C303" s="35"/>
      <c r="D303" s="35"/>
      <c r="E303" s="35"/>
      <c r="F303" s="35"/>
      <c r="G303" s="33"/>
      <c r="H303" s="35"/>
      <c r="I303" s="35"/>
      <c r="J303" s="35"/>
      <c r="K303" s="33"/>
      <c r="L303" s="33"/>
      <c r="M303" s="34"/>
      <c r="N303" s="34"/>
      <c r="O303" s="34"/>
      <c r="P303" s="34" t="str">
        <f aca="false">IF(OR($D303="",$M303=""),"",IF(IFERROR(INDEX(Settings!$C$11:$C$19,MATCH($L303,Settings!$B$11:$B$19,0)),"Yes")="No","",MAX($M303,$O303)+Settings!$C$6))</f>
        <v/>
      </c>
      <c r="Q303" s="36" t="str">
        <f aca="true">IF($D303="","",IF(IFERROR(INDEX(Settings!$C$11:$C$19,MATCH($L303,Settings!$B$11:$B$19,0)),"Yes")="No","",IF($M303="",IF($N303="","",$N303-TODAY()),IF($P303="","",$P303-TODAY()))))</f>
        <v/>
      </c>
      <c r="R303" s="37" t="str">
        <f aca="true">IF($D303="","",IF(IFERROR(INDEX(Settings!$C$11:$C$19,MATCH($L303,Settings!$B$11:$B$19,0)),"Yes")="No","CLOSED",IF($M303="",IF($N303="","ON TRACK",IF($N303&lt;TODAY(),"OVERDUE",IF($N303-TODAY()&lt;=Settings!$C$5,"DUE SOON","ON TRACK"))),IF($P303&lt;=TODAY(),"FOLLOW-UP DUE","ON TRACK"))))</f>
        <v/>
      </c>
      <c r="S303" s="35"/>
      <c r="T303" s="35"/>
      <c r="U303" s="38"/>
      <c r="V303" s="34"/>
      <c r="W303" s="35" t="str">
        <f aca="false">IF(OR($R303="OVERDUE",$R303="DUE SOON",$R303="FOLLOW-UP DUE"),MAX(W$3:W302)+1,"")</f>
        <v/>
      </c>
    </row>
    <row r="304" customFormat="false" ht="15" hidden="false" customHeight="false" outlineLevel="0" collapsed="false">
      <c r="A304" s="33" t="str">
        <f aca="false">IF($D304="","","JOB-"&amp;TEXT(ROW()-3,"000"))</f>
        <v/>
      </c>
      <c r="B304" s="34"/>
      <c r="C304" s="35"/>
      <c r="D304" s="35"/>
      <c r="E304" s="35"/>
      <c r="F304" s="35"/>
      <c r="G304" s="33"/>
      <c r="H304" s="35"/>
      <c r="I304" s="35"/>
      <c r="J304" s="35"/>
      <c r="K304" s="33"/>
      <c r="L304" s="33"/>
      <c r="M304" s="34"/>
      <c r="N304" s="34"/>
      <c r="O304" s="34"/>
      <c r="P304" s="34" t="str">
        <f aca="false">IF(OR($D304="",$M304=""),"",IF(IFERROR(INDEX(Settings!$C$11:$C$19,MATCH($L304,Settings!$B$11:$B$19,0)),"Yes")="No","",MAX($M304,$O304)+Settings!$C$6))</f>
        <v/>
      </c>
      <c r="Q304" s="36" t="str">
        <f aca="true">IF($D304="","",IF(IFERROR(INDEX(Settings!$C$11:$C$19,MATCH($L304,Settings!$B$11:$B$19,0)),"Yes")="No","",IF($M304="",IF($N304="","",$N304-TODAY()),IF($P304="","",$P304-TODAY()))))</f>
        <v/>
      </c>
      <c r="R304" s="37" t="str">
        <f aca="true">IF($D304="","",IF(IFERROR(INDEX(Settings!$C$11:$C$19,MATCH($L304,Settings!$B$11:$B$19,0)),"Yes")="No","CLOSED",IF($M304="",IF($N304="","ON TRACK",IF($N304&lt;TODAY(),"OVERDUE",IF($N304-TODAY()&lt;=Settings!$C$5,"DUE SOON","ON TRACK"))),IF($P304&lt;=TODAY(),"FOLLOW-UP DUE","ON TRACK"))))</f>
        <v/>
      </c>
      <c r="S304" s="35"/>
      <c r="T304" s="35"/>
      <c r="U304" s="38"/>
      <c r="V304" s="34"/>
      <c r="W304" s="35" t="str">
        <f aca="false">IF(OR($R304="OVERDUE",$R304="DUE SOON",$R304="FOLLOW-UP DUE"),MAX(W$3:W303)+1,"")</f>
        <v/>
      </c>
    </row>
    <row r="305" customFormat="false" ht="15" hidden="false" customHeight="false" outlineLevel="0" collapsed="false">
      <c r="A305" s="33" t="str">
        <f aca="false">IF($D305="","","JOB-"&amp;TEXT(ROW()-3,"000"))</f>
        <v/>
      </c>
      <c r="B305" s="34"/>
      <c r="C305" s="35"/>
      <c r="D305" s="35"/>
      <c r="E305" s="35"/>
      <c r="F305" s="35"/>
      <c r="G305" s="33"/>
      <c r="H305" s="35"/>
      <c r="I305" s="35"/>
      <c r="J305" s="35"/>
      <c r="K305" s="33"/>
      <c r="L305" s="33"/>
      <c r="M305" s="34"/>
      <c r="N305" s="34"/>
      <c r="O305" s="34"/>
      <c r="P305" s="34" t="str">
        <f aca="false">IF(OR($D305="",$M305=""),"",IF(IFERROR(INDEX(Settings!$C$11:$C$19,MATCH($L305,Settings!$B$11:$B$19,0)),"Yes")="No","",MAX($M305,$O305)+Settings!$C$6))</f>
        <v/>
      </c>
      <c r="Q305" s="36" t="str">
        <f aca="true">IF($D305="","",IF(IFERROR(INDEX(Settings!$C$11:$C$19,MATCH($L305,Settings!$B$11:$B$19,0)),"Yes")="No","",IF($M305="",IF($N305="","",$N305-TODAY()),IF($P305="","",$P305-TODAY()))))</f>
        <v/>
      </c>
      <c r="R305" s="37" t="str">
        <f aca="true">IF($D305="","",IF(IFERROR(INDEX(Settings!$C$11:$C$19,MATCH($L305,Settings!$B$11:$B$19,0)),"Yes")="No","CLOSED",IF($M305="",IF($N305="","ON TRACK",IF($N305&lt;TODAY(),"OVERDUE",IF($N305-TODAY()&lt;=Settings!$C$5,"DUE SOON","ON TRACK"))),IF($P305&lt;=TODAY(),"FOLLOW-UP DUE","ON TRACK"))))</f>
        <v/>
      </c>
      <c r="S305" s="35"/>
      <c r="T305" s="35"/>
      <c r="U305" s="38"/>
      <c r="V305" s="34"/>
      <c r="W305" s="35" t="str">
        <f aca="false">IF(OR($R305="OVERDUE",$R305="DUE SOON",$R305="FOLLOW-UP DUE"),MAX(W$3:W304)+1,"")</f>
        <v/>
      </c>
    </row>
    <row r="306" customFormat="false" ht="15" hidden="false" customHeight="false" outlineLevel="0" collapsed="false">
      <c r="A306" s="33" t="str">
        <f aca="false">IF($D306="","","JOB-"&amp;TEXT(ROW()-3,"000"))</f>
        <v/>
      </c>
      <c r="B306" s="34"/>
      <c r="C306" s="35"/>
      <c r="D306" s="35"/>
      <c r="E306" s="35"/>
      <c r="F306" s="35"/>
      <c r="G306" s="33"/>
      <c r="H306" s="35"/>
      <c r="I306" s="35"/>
      <c r="J306" s="35"/>
      <c r="K306" s="33"/>
      <c r="L306" s="33"/>
      <c r="M306" s="34"/>
      <c r="N306" s="34"/>
      <c r="O306" s="34"/>
      <c r="P306" s="34" t="str">
        <f aca="false">IF(OR($D306="",$M306=""),"",IF(IFERROR(INDEX(Settings!$C$11:$C$19,MATCH($L306,Settings!$B$11:$B$19,0)),"Yes")="No","",MAX($M306,$O306)+Settings!$C$6))</f>
        <v/>
      </c>
      <c r="Q306" s="36" t="str">
        <f aca="true">IF($D306="","",IF(IFERROR(INDEX(Settings!$C$11:$C$19,MATCH($L306,Settings!$B$11:$B$19,0)),"Yes")="No","",IF($M306="",IF($N306="","",$N306-TODAY()),IF($P306="","",$P306-TODAY()))))</f>
        <v/>
      </c>
      <c r="R306" s="37" t="str">
        <f aca="true">IF($D306="","",IF(IFERROR(INDEX(Settings!$C$11:$C$19,MATCH($L306,Settings!$B$11:$B$19,0)),"Yes")="No","CLOSED",IF($M306="",IF($N306="","ON TRACK",IF($N306&lt;TODAY(),"OVERDUE",IF($N306-TODAY()&lt;=Settings!$C$5,"DUE SOON","ON TRACK"))),IF($P306&lt;=TODAY(),"FOLLOW-UP DUE","ON TRACK"))))</f>
        <v/>
      </c>
      <c r="S306" s="35"/>
      <c r="T306" s="35"/>
      <c r="U306" s="38"/>
      <c r="V306" s="34"/>
      <c r="W306" s="35" t="str">
        <f aca="false">IF(OR($R306="OVERDUE",$R306="DUE SOON",$R306="FOLLOW-UP DUE"),MAX(W$3:W305)+1,"")</f>
        <v/>
      </c>
    </row>
    <row r="307" customFormat="false" ht="15" hidden="false" customHeight="false" outlineLevel="0" collapsed="false">
      <c r="A307" s="33" t="str">
        <f aca="false">IF($D307="","","JOB-"&amp;TEXT(ROW()-3,"000"))</f>
        <v/>
      </c>
      <c r="B307" s="34"/>
      <c r="C307" s="35"/>
      <c r="D307" s="35"/>
      <c r="E307" s="35"/>
      <c r="F307" s="35"/>
      <c r="G307" s="33"/>
      <c r="H307" s="35"/>
      <c r="I307" s="35"/>
      <c r="J307" s="35"/>
      <c r="K307" s="33"/>
      <c r="L307" s="33"/>
      <c r="M307" s="34"/>
      <c r="N307" s="34"/>
      <c r="O307" s="34"/>
      <c r="P307" s="34" t="str">
        <f aca="false">IF(OR($D307="",$M307=""),"",IF(IFERROR(INDEX(Settings!$C$11:$C$19,MATCH($L307,Settings!$B$11:$B$19,0)),"Yes")="No","",MAX($M307,$O307)+Settings!$C$6))</f>
        <v/>
      </c>
      <c r="Q307" s="36" t="str">
        <f aca="true">IF($D307="","",IF(IFERROR(INDEX(Settings!$C$11:$C$19,MATCH($L307,Settings!$B$11:$B$19,0)),"Yes")="No","",IF($M307="",IF($N307="","",$N307-TODAY()),IF($P307="","",$P307-TODAY()))))</f>
        <v/>
      </c>
      <c r="R307" s="37" t="str">
        <f aca="true">IF($D307="","",IF(IFERROR(INDEX(Settings!$C$11:$C$19,MATCH($L307,Settings!$B$11:$B$19,0)),"Yes")="No","CLOSED",IF($M307="",IF($N307="","ON TRACK",IF($N307&lt;TODAY(),"OVERDUE",IF($N307-TODAY()&lt;=Settings!$C$5,"DUE SOON","ON TRACK"))),IF($P307&lt;=TODAY(),"FOLLOW-UP DUE","ON TRACK"))))</f>
        <v/>
      </c>
      <c r="S307" s="35"/>
      <c r="T307" s="35"/>
      <c r="U307" s="38"/>
      <c r="V307" s="34"/>
      <c r="W307" s="35" t="str">
        <f aca="false">IF(OR($R307="OVERDUE",$R307="DUE SOON",$R307="FOLLOW-UP DUE"),MAX(W$3:W306)+1,"")</f>
        <v/>
      </c>
    </row>
    <row r="308" customFormat="false" ht="15" hidden="false" customHeight="false" outlineLevel="0" collapsed="false">
      <c r="A308" s="33" t="str">
        <f aca="false">IF($D308="","","JOB-"&amp;TEXT(ROW()-3,"000"))</f>
        <v/>
      </c>
      <c r="B308" s="34"/>
      <c r="C308" s="35"/>
      <c r="D308" s="35"/>
      <c r="E308" s="35"/>
      <c r="F308" s="35"/>
      <c r="G308" s="33"/>
      <c r="H308" s="35"/>
      <c r="I308" s="35"/>
      <c r="J308" s="35"/>
      <c r="K308" s="33"/>
      <c r="L308" s="33"/>
      <c r="M308" s="34"/>
      <c r="N308" s="34"/>
      <c r="O308" s="34"/>
      <c r="P308" s="34" t="str">
        <f aca="false">IF(OR($D308="",$M308=""),"",IF(IFERROR(INDEX(Settings!$C$11:$C$19,MATCH($L308,Settings!$B$11:$B$19,0)),"Yes")="No","",MAX($M308,$O308)+Settings!$C$6))</f>
        <v/>
      </c>
      <c r="Q308" s="36" t="str">
        <f aca="true">IF($D308="","",IF(IFERROR(INDEX(Settings!$C$11:$C$19,MATCH($L308,Settings!$B$11:$B$19,0)),"Yes")="No","",IF($M308="",IF($N308="","",$N308-TODAY()),IF($P308="","",$P308-TODAY()))))</f>
        <v/>
      </c>
      <c r="R308" s="37" t="str">
        <f aca="true">IF($D308="","",IF(IFERROR(INDEX(Settings!$C$11:$C$19,MATCH($L308,Settings!$B$11:$B$19,0)),"Yes")="No","CLOSED",IF($M308="",IF($N308="","ON TRACK",IF($N308&lt;TODAY(),"OVERDUE",IF($N308-TODAY()&lt;=Settings!$C$5,"DUE SOON","ON TRACK"))),IF($P308&lt;=TODAY(),"FOLLOW-UP DUE","ON TRACK"))))</f>
        <v/>
      </c>
      <c r="S308" s="35"/>
      <c r="T308" s="35"/>
      <c r="U308" s="38"/>
      <c r="V308" s="34"/>
      <c r="W308" s="35" t="str">
        <f aca="false">IF(OR($R308="OVERDUE",$R308="DUE SOON",$R308="FOLLOW-UP DUE"),MAX(W$3:W307)+1,"")</f>
        <v/>
      </c>
    </row>
    <row r="309" customFormat="false" ht="15" hidden="false" customHeight="false" outlineLevel="0" collapsed="false">
      <c r="A309" s="33" t="str">
        <f aca="false">IF($D309="","","JOB-"&amp;TEXT(ROW()-3,"000"))</f>
        <v/>
      </c>
      <c r="B309" s="34"/>
      <c r="C309" s="35"/>
      <c r="D309" s="35"/>
      <c r="E309" s="35"/>
      <c r="F309" s="35"/>
      <c r="G309" s="33"/>
      <c r="H309" s="35"/>
      <c r="I309" s="35"/>
      <c r="J309" s="35"/>
      <c r="K309" s="33"/>
      <c r="L309" s="33"/>
      <c r="M309" s="34"/>
      <c r="N309" s="34"/>
      <c r="O309" s="34"/>
      <c r="P309" s="34" t="str">
        <f aca="false">IF(OR($D309="",$M309=""),"",IF(IFERROR(INDEX(Settings!$C$11:$C$19,MATCH($L309,Settings!$B$11:$B$19,0)),"Yes")="No","",MAX($M309,$O309)+Settings!$C$6))</f>
        <v/>
      </c>
      <c r="Q309" s="36" t="str">
        <f aca="true">IF($D309="","",IF(IFERROR(INDEX(Settings!$C$11:$C$19,MATCH($L309,Settings!$B$11:$B$19,0)),"Yes")="No","",IF($M309="",IF($N309="","",$N309-TODAY()),IF($P309="","",$P309-TODAY()))))</f>
        <v/>
      </c>
      <c r="R309" s="37" t="str">
        <f aca="true">IF($D309="","",IF(IFERROR(INDEX(Settings!$C$11:$C$19,MATCH($L309,Settings!$B$11:$B$19,0)),"Yes")="No","CLOSED",IF($M309="",IF($N309="","ON TRACK",IF($N309&lt;TODAY(),"OVERDUE",IF($N309-TODAY()&lt;=Settings!$C$5,"DUE SOON","ON TRACK"))),IF($P309&lt;=TODAY(),"FOLLOW-UP DUE","ON TRACK"))))</f>
        <v/>
      </c>
      <c r="S309" s="35"/>
      <c r="T309" s="35"/>
      <c r="U309" s="38"/>
      <c r="V309" s="34"/>
      <c r="W309" s="35" t="str">
        <f aca="false">IF(OR($R309="OVERDUE",$R309="DUE SOON",$R309="FOLLOW-UP DUE"),MAX(W$3:W308)+1,"")</f>
        <v/>
      </c>
    </row>
    <row r="310" customFormat="false" ht="15" hidden="false" customHeight="false" outlineLevel="0" collapsed="false">
      <c r="A310" s="33" t="str">
        <f aca="false">IF($D310="","","JOB-"&amp;TEXT(ROW()-3,"000"))</f>
        <v/>
      </c>
      <c r="B310" s="34"/>
      <c r="C310" s="35"/>
      <c r="D310" s="35"/>
      <c r="E310" s="35"/>
      <c r="F310" s="35"/>
      <c r="G310" s="33"/>
      <c r="H310" s="35"/>
      <c r="I310" s="35"/>
      <c r="J310" s="35"/>
      <c r="K310" s="33"/>
      <c r="L310" s="33"/>
      <c r="M310" s="34"/>
      <c r="N310" s="34"/>
      <c r="O310" s="34"/>
      <c r="P310" s="34" t="str">
        <f aca="false">IF(OR($D310="",$M310=""),"",IF(IFERROR(INDEX(Settings!$C$11:$C$19,MATCH($L310,Settings!$B$11:$B$19,0)),"Yes")="No","",MAX($M310,$O310)+Settings!$C$6))</f>
        <v/>
      </c>
      <c r="Q310" s="36" t="str">
        <f aca="true">IF($D310="","",IF(IFERROR(INDEX(Settings!$C$11:$C$19,MATCH($L310,Settings!$B$11:$B$19,0)),"Yes")="No","",IF($M310="",IF($N310="","",$N310-TODAY()),IF($P310="","",$P310-TODAY()))))</f>
        <v/>
      </c>
      <c r="R310" s="37" t="str">
        <f aca="true">IF($D310="","",IF(IFERROR(INDEX(Settings!$C$11:$C$19,MATCH($L310,Settings!$B$11:$B$19,0)),"Yes")="No","CLOSED",IF($M310="",IF($N310="","ON TRACK",IF($N310&lt;TODAY(),"OVERDUE",IF($N310-TODAY()&lt;=Settings!$C$5,"DUE SOON","ON TRACK"))),IF($P310&lt;=TODAY(),"FOLLOW-UP DUE","ON TRACK"))))</f>
        <v/>
      </c>
      <c r="S310" s="35"/>
      <c r="T310" s="35"/>
      <c r="U310" s="38"/>
      <c r="V310" s="34"/>
      <c r="W310" s="35" t="str">
        <f aca="false">IF(OR($R310="OVERDUE",$R310="DUE SOON",$R310="FOLLOW-UP DUE"),MAX(W$3:W309)+1,"")</f>
        <v/>
      </c>
    </row>
    <row r="311" customFormat="false" ht="15" hidden="false" customHeight="false" outlineLevel="0" collapsed="false">
      <c r="A311" s="33" t="str">
        <f aca="false">IF($D311="","","JOB-"&amp;TEXT(ROW()-3,"000"))</f>
        <v/>
      </c>
      <c r="B311" s="34"/>
      <c r="C311" s="35"/>
      <c r="D311" s="35"/>
      <c r="E311" s="35"/>
      <c r="F311" s="35"/>
      <c r="G311" s="33"/>
      <c r="H311" s="35"/>
      <c r="I311" s="35"/>
      <c r="J311" s="35"/>
      <c r="K311" s="33"/>
      <c r="L311" s="33"/>
      <c r="M311" s="34"/>
      <c r="N311" s="34"/>
      <c r="O311" s="34"/>
      <c r="P311" s="34" t="str">
        <f aca="false">IF(OR($D311="",$M311=""),"",IF(IFERROR(INDEX(Settings!$C$11:$C$19,MATCH($L311,Settings!$B$11:$B$19,0)),"Yes")="No","",MAX($M311,$O311)+Settings!$C$6))</f>
        <v/>
      </c>
      <c r="Q311" s="36" t="str">
        <f aca="true">IF($D311="","",IF(IFERROR(INDEX(Settings!$C$11:$C$19,MATCH($L311,Settings!$B$11:$B$19,0)),"Yes")="No","",IF($M311="",IF($N311="","",$N311-TODAY()),IF($P311="","",$P311-TODAY()))))</f>
        <v/>
      </c>
      <c r="R311" s="37" t="str">
        <f aca="true">IF($D311="","",IF(IFERROR(INDEX(Settings!$C$11:$C$19,MATCH($L311,Settings!$B$11:$B$19,0)),"Yes")="No","CLOSED",IF($M311="",IF($N311="","ON TRACK",IF($N311&lt;TODAY(),"OVERDUE",IF($N311-TODAY()&lt;=Settings!$C$5,"DUE SOON","ON TRACK"))),IF($P311&lt;=TODAY(),"FOLLOW-UP DUE","ON TRACK"))))</f>
        <v/>
      </c>
      <c r="S311" s="35"/>
      <c r="T311" s="35"/>
      <c r="U311" s="38"/>
      <c r="V311" s="34"/>
      <c r="W311" s="35" t="str">
        <f aca="false">IF(OR($R311="OVERDUE",$R311="DUE SOON",$R311="FOLLOW-UP DUE"),MAX(W$3:W310)+1,"")</f>
        <v/>
      </c>
    </row>
    <row r="312" customFormat="false" ht="15" hidden="false" customHeight="false" outlineLevel="0" collapsed="false">
      <c r="A312" s="33" t="str">
        <f aca="false">IF($D312="","","JOB-"&amp;TEXT(ROW()-3,"000"))</f>
        <v/>
      </c>
      <c r="B312" s="34"/>
      <c r="C312" s="35"/>
      <c r="D312" s="35"/>
      <c r="E312" s="35"/>
      <c r="F312" s="35"/>
      <c r="G312" s="33"/>
      <c r="H312" s="35"/>
      <c r="I312" s="35"/>
      <c r="J312" s="35"/>
      <c r="K312" s="33"/>
      <c r="L312" s="33"/>
      <c r="M312" s="34"/>
      <c r="N312" s="34"/>
      <c r="O312" s="34"/>
      <c r="P312" s="34" t="str">
        <f aca="false">IF(OR($D312="",$M312=""),"",IF(IFERROR(INDEX(Settings!$C$11:$C$19,MATCH($L312,Settings!$B$11:$B$19,0)),"Yes")="No","",MAX($M312,$O312)+Settings!$C$6))</f>
        <v/>
      </c>
      <c r="Q312" s="36" t="str">
        <f aca="true">IF($D312="","",IF(IFERROR(INDEX(Settings!$C$11:$C$19,MATCH($L312,Settings!$B$11:$B$19,0)),"Yes")="No","",IF($M312="",IF($N312="","",$N312-TODAY()),IF($P312="","",$P312-TODAY()))))</f>
        <v/>
      </c>
      <c r="R312" s="37" t="str">
        <f aca="true">IF($D312="","",IF(IFERROR(INDEX(Settings!$C$11:$C$19,MATCH($L312,Settings!$B$11:$B$19,0)),"Yes")="No","CLOSED",IF($M312="",IF($N312="","ON TRACK",IF($N312&lt;TODAY(),"OVERDUE",IF($N312-TODAY()&lt;=Settings!$C$5,"DUE SOON","ON TRACK"))),IF($P312&lt;=TODAY(),"FOLLOW-UP DUE","ON TRACK"))))</f>
        <v/>
      </c>
      <c r="S312" s="35"/>
      <c r="T312" s="35"/>
      <c r="U312" s="38"/>
      <c r="V312" s="34"/>
      <c r="W312" s="35" t="str">
        <f aca="false">IF(OR($R312="OVERDUE",$R312="DUE SOON",$R312="FOLLOW-UP DUE"),MAX(W$3:W311)+1,"")</f>
        <v/>
      </c>
    </row>
    <row r="313" customFormat="false" ht="15" hidden="false" customHeight="false" outlineLevel="0" collapsed="false">
      <c r="A313" s="33" t="str">
        <f aca="false">IF($D313="","","JOB-"&amp;TEXT(ROW()-3,"000"))</f>
        <v/>
      </c>
      <c r="B313" s="34"/>
      <c r="C313" s="35"/>
      <c r="D313" s="35"/>
      <c r="E313" s="35"/>
      <c r="F313" s="35"/>
      <c r="G313" s="33"/>
      <c r="H313" s="35"/>
      <c r="I313" s="35"/>
      <c r="J313" s="35"/>
      <c r="K313" s="33"/>
      <c r="L313" s="33"/>
      <c r="M313" s="34"/>
      <c r="N313" s="34"/>
      <c r="O313" s="34"/>
      <c r="P313" s="34" t="str">
        <f aca="false">IF(OR($D313="",$M313=""),"",IF(IFERROR(INDEX(Settings!$C$11:$C$19,MATCH($L313,Settings!$B$11:$B$19,0)),"Yes")="No","",MAX($M313,$O313)+Settings!$C$6))</f>
        <v/>
      </c>
      <c r="Q313" s="36" t="str">
        <f aca="true">IF($D313="","",IF(IFERROR(INDEX(Settings!$C$11:$C$19,MATCH($L313,Settings!$B$11:$B$19,0)),"Yes")="No","",IF($M313="",IF($N313="","",$N313-TODAY()),IF($P313="","",$P313-TODAY()))))</f>
        <v/>
      </c>
      <c r="R313" s="37" t="str">
        <f aca="true">IF($D313="","",IF(IFERROR(INDEX(Settings!$C$11:$C$19,MATCH($L313,Settings!$B$11:$B$19,0)),"Yes")="No","CLOSED",IF($M313="",IF($N313="","ON TRACK",IF($N313&lt;TODAY(),"OVERDUE",IF($N313-TODAY()&lt;=Settings!$C$5,"DUE SOON","ON TRACK"))),IF($P313&lt;=TODAY(),"FOLLOW-UP DUE","ON TRACK"))))</f>
        <v/>
      </c>
      <c r="S313" s="35"/>
      <c r="T313" s="35"/>
      <c r="U313" s="38"/>
      <c r="V313" s="34"/>
      <c r="W313" s="35" t="str">
        <f aca="false">IF(OR($R313="OVERDUE",$R313="DUE SOON",$R313="FOLLOW-UP DUE"),MAX(W$3:W312)+1,"")</f>
        <v/>
      </c>
    </row>
    <row r="314" customFormat="false" ht="15" hidden="false" customHeight="false" outlineLevel="0" collapsed="false">
      <c r="A314" s="33" t="str">
        <f aca="false">IF($D314="","","JOB-"&amp;TEXT(ROW()-3,"000"))</f>
        <v/>
      </c>
      <c r="B314" s="34"/>
      <c r="C314" s="35"/>
      <c r="D314" s="35"/>
      <c r="E314" s="35"/>
      <c r="F314" s="35"/>
      <c r="G314" s="33"/>
      <c r="H314" s="35"/>
      <c r="I314" s="35"/>
      <c r="J314" s="35"/>
      <c r="K314" s="33"/>
      <c r="L314" s="33"/>
      <c r="M314" s="34"/>
      <c r="N314" s="34"/>
      <c r="O314" s="34"/>
      <c r="P314" s="34" t="str">
        <f aca="false">IF(OR($D314="",$M314=""),"",IF(IFERROR(INDEX(Settings!$C$11:$C$19,MATCH($L314,Settings!$B$11:$B$19,0)),"Yes")="No","",MAX($M314,$O314)+Settings!$C$6))</f>
        <v/>
      </c>
      <c r="Q314" s="36" t="str">
        <f aca="true">IF($D314="","",IF(IFERROR(INDEX(Settings!$C$11:$C$19,MATCH($L314,Settings!$B$11:$B$19,0)),"Yes")="No","",IF($M314="",IF($N314="","",$N314-TODAY()),IF($P314="","",$P314-TODAY()))))</f>
        <v/>
      </c>
      <c r="R314" s="37" t="str">
        <f aca="true">IF($D314="","",IF(IFERROR(INDEX(Settings!$C$11:$C$19,MATCH($L314,Settings!$B$11:$B$19,0)),"Yes")="No","CLOSED",IF($M314="",IF($N314="","ON TRACK",IF($N314&lt;TODAY(),"OVERDUE",IF($N314-TODAY()&lt;=Settings!$C$5,"DUE SOON","ON TRACK"))),IF($P314&lt;=TODAY(),"FOLLOW-UP DUE","ON TRACK"))))</f>
        <v/>
      </c>
      <c r="S314" s="35"/>
      <c r="T314" s="35"/>
      <c r="U314" s="38"/>
      <c r="V314" s="34"/>
      <c r="W314" s="35" t="str">
        <f aca="false">IF(OR($R314="OVERDUE",$R314="DUE SOON",$R314="FOLLOW-UP DUE"),MAX(W$3:W313)+1,"")</f>
        <v/>
      </c>
    </row>
    <row r="315" customFormat="false" ht="15" hidden="false" customHeight="false" outlineLevel="0" collapsed="false">
      <c r="A315" s="33" t="str">
        <f aca="false">IF($D315="","","JOB-"&amp;TEXT(ROW()-3,"000"))</f>
        <v/>
      </c>
      <c r="B315" s="34"/>
      <c r="C315" s="35"/>
      <c r="D315" s="35"/>
      <c r="E315" s="35"/>
      <c r="F315" s="35"/>
      <c r="G315" s="33"/>
      <c r="H315" s="35"/>
      <c r="I315" s="35"/>
      <c r="J315" s="35"/>
      <c r="K315" s="33"/>
      <c r="L315" s="33"/>
      <c r="M315" s="34"/>
      <c r="N315" s="34"/>
      <c r="O315" s="34"/>
      <c r="P315" s="34" t="str">
        <f aca="false">IF(OR($D315="",$M315=""),"",IF(IFERROR(INDEX(Settings!$C$11:$C$19,MATCH($L315,Settings!$B$11:$B$19,0)),"Yes")="No","",MAX($M315,$O315)+Settings!$C$6))</f>
        <v/>
      </c>
      <c r="Q315" s="36" t="str">
        <f aca="true">IF($D315="","",IF(IFERROR(INDEX(Settings!$C$11:$C$19,MATCH($L315,Settings!$B$11:$B$19,0)),"Yes")="No","",IF($M315="",IF($N315="","",$N315-TODAY()),IF($P315="","",$P315-TODAY()))))</f>
        <v/>
      </c>
      <c r="R315" s="37" t="str">
        <f aca="true">IF($D315="","",IF(IFERROR(INDEX(Settings!$C$11:$C$19,MATCH($L315,Settings!$B$11:$B$19,0)),"Yes")="No","CLOSED",IF($M315="",IF($N315="","ON TRACK",IF($N315&lt;TODAY(),"OVERDUE",IF($N315-TODAY()&lt;=Settings!$C$5,"DUE SOON","ON TRACK"))),IF($P315&lt;=TODAY(),"FOLLOW-UP DUE","ON TRACK"))))</f>
        <v/>
      </c>
      <c r="S315" s="35"/>
      <c r="T315" s="35"/>
      <c r="U315" s="38"/>
      <c r="V315" s="34"/>
      <c r="W315" s="35" t="str">
        <f aca="false">IF(OR($R315="OVERDUE",$R315="DUE SOON",$R315="FOLLOW-UP DUE"),MAX(W$3:W314)+1,"")</f>
        <v/>
      </c>
    </row>
    <row r="316" customFormat="false" ht="15" hidden="false" customHeight="false" outlineLevel="0" collapsed="false">
      <c r="A316" s="33" t="str">
        <f aca="false">IF($D316="","","JOB-"&amp;TEXT(ROW()-3,"000"))</f>
        <v/>
      </c>
      <c r="B316" s="34"/>
      <c r="C316" s="35"/>
      <c r="D316" s="35"/>
      <c r="E316" s="35"/>
      <c r="F316" s="35"/>
      <c r="G316" s="33"/>
      <c r="H316" s="35"/>
      <c r="I316" s="35"/>
      <c r="J316" s="35"/>
      <c r="K316" s="33"/>
      <c r="L316" s="33"/>
      <c r="M316" s="34"/>
      <c r="N316" s="34"/>
      <c r="O316" s="34"/>
      <c r="P316" s="34" t="str">
        <f aca="false">IF(OR($D316="",$M316=""),"",IF(IFERROR(INDEX(Settings!$C$11:$C$19,MATCH($L316,Settings!$B$11:$B$19,0)),"Yes")="No","",MAX($M316,$O316)+Settings!$C$6))</f>
        <v/>
      </c>
      <c r="Q316" s="36" t="str">
        <f aca="true">IF($D316="","",IF(IFERROR(INDEX(Settings!$C$11:$C$19,MATCH($L316,Settings!$B$11:$B$19,0)),"Yes")="No","",IF($M316="",IF($N316="","",$N316-TODAY()),IF($P316="","",$P316-TODAY()))))</f>
        <v/>
      </c>
      <c r="R316" s="37" t="str">
        <f aca="true">IF($D316="","",IF(IFERROR(INDEX(Settings!$C$11:$C$19,MATCH($L316,Settings!$B$11:$B$19,0)),"Yes")="No","CLOSED",IF($M316="",IF($N316="","ON TRACK",IF($N316&lt;TODAY(),"OVERDUE",IF($N316-TODAY()&lt;=Settings!$C$5,"DUE SOON","ON TRACK"))),IF($P316&lt;=TODAY(),"FOLLOW-UP DUE","ON TRACK"))))</f>
        <v/>
      </c>
      <c r="S316" s="35"/>
      <c r="T316" s="35"/>
      <c r="U316" s="38"/>
      <c r="V316" s="34"/>
      <c r="W316" s="35" t="str">
        <f aca="false">IF(OR($R316="OVERDUE",$R316="DUE SOON",$R316="FOLLOW-UP DUE"),MAX(W$3:W315)+1,"")</f>
        <v/>
      </c>
    </row>
    <row r="317" customFormat="false" ht="15" hidden="false" customHeight="false" outlineLevel="0" collapsed="false">
      <c r="A317" s="33" t="str">
        <f aca="false">IF($D317="","","JOB-"&amp;TEXT(ROW()-3,"000"))</f>
        <v/>
      </c>
      <c r="B317" s="34"/>
      <c r="C317" s="35"/>
      <c r="D317" s="35"/>
      <c r="E317" s="35"/>
      <c r="F317" s="35"/>
      <c r="G317" s="33"/>
      <c r="H317" s="35"/>
      <c r="I317" s="35"/>
      <c r="J317" s="35"/>
      <c r="K317" s="33"/>
      <c r="L317" s="33"/>
      <c r="M317" s="34"/>
      <c r="N317" s="34"/>
      <c r="O317" s="34"/>
      <c r="P317" s="34" t="str">
        <f aca="false">IF(OR($D317="",$M317=""),"",IF(IFERROR(INDEX(Settings!$C$11:$C$19,MATCH($L317,Settings!$B$11:$B$19,0)),"Yes")="No","",MAX($M317,$O317)+Settings!$C$6))</f>
        <v/>
      </c>
      <c r="Q317" s="36" t="str">
        <f aca="true">IF($D317="","",IF(IFERROR(INDEX(Settings!$C$11:$C$19,MATCH($L317,Settings!$B$11:$B$19,0)),"Yes")="No","",IF($M317="",IF($N317="","",$N317-TODAY()),IF($P317="","",$P317-TODAY()))))</f>
        <v/>
      </c>
      <c r="R317" s="37" t="str">
        <f aca="true">IF($D317="","",IF(IFERROR(INDEX(Settings!$C$11:$C$19,MATCH($L317,Settings!$B$11:$B$19,0)),"Yes")="No","CLOSED",IF($M317="",IF($N317="","ON TRACK",IF($N317&lt;TODAY(),"OVERDUE",IF($N317-TODAY()&lt;=Settings!$C$5,"DUE SOON","ON TRACK"))),IF($P317&lt;=TODAY(),"FOLLOW-UP DUE","ON TRACK"))))</f>
        <v/>
      </c>
      <c r="S317" s="35"/>
      <c r="T317" s="35"/>
      <c r="U317" s="38"/>
      <c r="V317" s="34"/>
      <c r="W317" s="35" t="str">
        <f aca="false">IF(OR($R317="OVERDUE",$R317="DUE SOON",$R317="FOLLOW-UP DUE"),MAX(W$3:W316)+1,"")</f>
        <v/>
      </c>
    </row>
    <row r="318" customFormat="false" ht="15" hidden="false" customHeight="false" outlineLevel="0" collapsed="false">
      <c r="A318" s="33" t="str">
        <f aca="false">IF($D318="","","JOB-"&amp;TEXT(ROW()-3,"000"))</f>
        <v/>
      </c>
      <c r="B318" s="34"/>
      <c r="C318" s="35"/>
      <c r="D318" s="35"/>
      <c r="E318" s="35"/>
      <c r="F318" s="35"/>
      <c r="G318" s="33"/>
      <c r="H318" s="35"/>
      <c r="I318" s="35"/>
      <c r="J318" s="35"/>
      <c r="K318" s="33"/>
      <c r="L318" s="33"/>
      <c r="M318" s="34"/>
      <c r="N318" s="34"/>
      <c r="O318" s="34"/>
      <c r="P318" s="34" t="str">
        <f aca="false">IF(OR($D318="",$M318=""),"",IF(IFERROR(INDEX(Settings!$C$11:$C$19,MATCH($L318,Settings!$B$11:$B$19,0)),"Yes")="No","",MAX($M318,$O318)+Settings!$C$6))</f>
        <v/>
      </c>
      <c r="Q318" s="36" t="str">
        <f aca="true">IF($D318="","",IF(IFERROR(INDEX(Settings!$C$11:$C$19,MATCH($L318,Settings!$B$11:$B$19,0)),"Yes")="No","",IF($M318="",IF($N318="","",$N318-TODAY()),IF($P318="","",$P318-TODAY()))))</f>
        <v/>
      </c>
      <c r="R318" s="37" t="str">
        <f aca="true">IF($D318="","",IF(IFERROR(INDEX(Settings!$C$11:$C$19,MATCH($L318,Settings!$B$11:$B$19,0)),"Yes")="No","CLOSED",IF($M318="",IF($N318="","ON TRACK",IF($N318&lt;TODAY(),"OVERDUE",IF($N318-TODAY()&lt;=Settings!$C$5,"DUE SOON","ON TRACK"))),IF($P318&lt;=TODAY(),"FOLLOW-UP DUE","ON TRACK"))))</f>
        <v/>
      </c>
      <c r="S318" s="35"/>
      <c r="T318" s="35"/>
      <c r="U318" s="38"/>
      <c r="V318" s="34"/>
      <c r="W318" s="35" t="str">
        <f aca="false">IF(OR($R318="OVERDUE",$R318="DUE SOON",$R318="FOLLOW-UP DUE"),MAX(W$3:W317)+1,"")</f>
        <v/>
      </c>
    </row>
    <row r="319" customFormat="false" ht="15" hidden="false" customHeight="false" outlineLevel="0" collapsed="false">
      <c r="A319" s="33" t="str">
        <f aca="false">IF($D319="","","JOB-"&amp;TEXT(ROW()-3,"000"))</f>
        <v/>
      </c>
      <c r="B319" s="34"/>
      <c r="C319" s="35"/>
      <c r="D319" s="35"/>
      <c r="E319" s="35"/>
      <c r="F319" s="35"/>
      <c r="G319" s="33"/>
      <c r="H319" s="35"/>
      <c r="I319" s="35"/>
      <c r="J319" s="35"/>
      <c r="K319" s="33"/>
      <c r="L319" s="33"/>
      <c r="M319" s="34"/>
      <c r="N319" s="34"/>
      <c r="O319" s="34"/>
      <c r="P319" s="34" t="str">
        <f aca="false">IF(OR($D319="",$M319=""),"",IF(IFERROR(INDEX(Settings!$C$11:$C$19,MATCH($L319,Settings!$B$11:$B$19,0)),"Yes")="No","",MAX($M319,$O319)+Settings!$C$6))</f>
        <v/>
      </c>
      <c r="Q319" s="36" t="str">
        <f aca="true">IF($D319="","",IF(IFERROR(INDEX(Settings!$C$11:$C$19,MATCH($L319,Settings!$B$11:$B$19,0)),"Yes")="No","",IF($M319="",IF($N319="","",$N319-TODAY()),IF($P319="","",$P319-TODAY()))))</f>
        <v/>
      </c>
      <c r="R319" s="37" t="str">
        <f aca="true">IF($D319="","",IF(IFERROR(INDEX(Settings!$C$11:$C$19,MATCH($L319,Settings!$B$11:$B$19,0)),"Yes")="No","CLOSED",IF($M319="",IF($N319="","ON TRACK",IF($N319&lt;TODAY(),"OVERDUE",IF($N319-TODAY()&lt;=Settings!$C$5,"DUE SOON","ON TRACK"))),IF($P319&lt;=TODAY(),"FOLLOW-UP DUE","ON TRACK"))))</f>
        <v/>
      </c>
      <c r="S319" s="35"/>
      <c r="T319" s="35"/>
      <c r="U319" s="38"/>
      <c r="V319" s="34"/>
      <c r="W319" s="35" t="str">
        <f aca="false">IF(OR($R319="OVERDUE",$R319="DUE SOON",$R319="FOLLOW-UP DUE"),MAX(W$3:W318)+1,"")</f>
        <v/>
      </c>
    </row>
    <row r="320" customFormat="false" ht="15" hidden="false" customHeight="false" outlineLevel="0" collapsed="false">
      <c r="A320" s="33" t="str">
        <f aca="false">IF($D320="","","JOB-"&amp;TEXT(ROW()-3,"000"))</f>
        <v/>
      </c>
      <c r="B320" s="34"/>
      <c r="C320" s="35"/>
      <c r="D320" s="35"/>
      <c r="E320" s="35"/>
      <c r="F320" s="35"/>
      <c r="G320" s="33"/>
      <c r="H320" s="35"/>
      <c r="I320" s="35"/>
      <c r="J320" s="35"/>
      <c r="K320" s="33"/>
      <c r="L320" s="33"/>
      <c r="M320" s="34"/>
      <c r="N320" s="34"/>
      <c r="O320" s="34"/>
      <c r="P320" s="34" t="str">
        <f aca="false">IF(OR($D320="",$M320=""),"",IF(IFERROR(INDEX(Settings!$C$11:$C$19,MATCH($L320,Settings!$B$11:$B$19,0)),"Yes")="No","",MAX($M320,$O320)+Settings!$C$6))</f>
        <v/>
      </c>
      <c r="Q320" s="36" t="str">
        <f aca="true">IF($D320="","",IF(IFERROR(INDEX(Settings!$C$11:$C$19,MATCH($L320,Settings!$B$11:$B$19,0)),"Yes")="No","",IF($M320="",IF($N320="","",$N320-TODAY()),IF($P320="","",$P320-TODAY()))))</f>
        <v/>
      </c>
      <c r="R320" s="37" t="str">
        <f aca="true">IF($D320="","",IF(IFERROR(INDEX(Settings!$C$11:$C$19,MATCH($L320,Settings!$B$11:$B$19,0)),"Yes")="No","CLOSED",IF($M320="",IF($N320="","ON TRACK",IF($N320&lt;TODAY(),"OVERDUE",IF($N320-TODAY()&lt;=Settings!$C$5,"DUE SOON","ON TRACK"))),IF($P320&lt;=TODAY(),"FOLLOW-UP DUE","ON TRACK"))))</f>
        <v/>
      </c>
      <c r="S320" s="35"/>
      <c r="T320" s="35"/>
      <c r="U320" s="38"/>
      <c r="V320" s="34"/>
      <c r="W320" s="35" t="str">
        <f aca="false">IF(OR($R320="OVERDUE",$R320="DUE SOON",$R320="FOLLOW-UP DUE"),MAX(W$3:W319)+1,"")</f>
        <v/>
      </c>
    </row>
    <row r="321" customFormat="false" ht="15" hidden="false" customHeight="false" outlineLevel="0" collapsed="false">
      <c r="A321" s="33" t="str">
        <f aca="false">IF($D321="","","JOB-"&amp;TEXT(ROW()-3,"000"))</f>
        <v/>
      </c>
      <c r="B321" s="34"/>
      <c r="C321" s="35"/>
      <c r="D321" s="35"/>
      <c r="E321" s="35"/>
      <c r="F321" s="35"/>
      <c r="G321" s="33"/>
      <c r="H321" s="35"/>
      <c r="I321" s="35"/>
      <c r="J321" s="35"/>
      <c r="K321" s="33"/>
      <c r="L321" s="33"/>
      <c r="M321" s="34"/>
      <c r="N321" s="34"/>
      <c r="O321" s="34"/>
      <c r="P321" s="34" t="str">
        <f aca="false">IF(OR($D321="",$M321=""),"",IF(IFERROR(INDEX(Settings!$C$11:$C$19,MATCH($L321,Settings!$B$11:$B$19,0)),"Yes")="No","",MAX($M321,$O321)+Settings!$C$6))</f>
        <v/>
      </c>
      <c r="Q321" s="36" t="str">
        <f aca="true">IF($D321="","",IF(IFERROR(INDEX(Settings!$C$11:$C$19,MATCH($L321,Settings!$B$11:$B$19,0)),"Yes")="No","",IF($M321="",IF($N321="","",$N321-TODAY()),IF($P321="","",$P321-TODAY()))))</f>
        <v/>
      </c>
      <c r="R321" s="37" t="str">
        <f aca="true">IF($D321="","",IF(IFERROR(INDEX(Settings!$C$11:$C$19,MATCH($L321,Settings!$B$11:$B$19,0)),"Yes")="No","CLOSED",IF($M321="",IF($N321="","ON TRACK",IF($N321&lt;TODAY(),"OVERDUE",IF($N321-TODAY()&lt;=Settings!$C$5,"DUE SOON","ON TRACK"))),IF($P321&lt;=TODAY(),"FOLLOW-UP DUE","ON TRACK"))))</f>
        <v/>
      </c>
      <c r="S321" s="35"/>
      <c r="T321" s="35"/>
      <c r="U321" s="38"/>
      <c r="V321" s="34"/>
      <c r="W321" s="35" t="str">
        <f aca="false">IF(OR($R321="OVERDUE",$R321="DUE SOON",$R321="FOLLOW-UP DUE"),MAX(W$3:W320)+1,"")</f>
        <v/>
      </c>
    </row>
    <row r="322" customFormat="false" ht="15" hidden="false" customHeight="false" outlineLevel="0" collapsed="false">
      <c r="A322" s="33" t="str">
        <f aca="false">IF($D322="","","JOB-"&amp;TEXT(ROW()-3,"000"))</f>
        <v/>
      </c>
      <c r="B322" s="34"/>
      <c r="C322" s="35"/>
      <c r="D322" s="35"/>
      <c r="E322" s="35"/>
      <c r="F322" s="35"/>
      <c r="G322" s="33"/>
      <c r="H322" s="35"/>
      <c r="I322" s="35"/>
      <c r="J322" s="35"/>
      <c r="K322" s="33"/>
      <c r="L322" s="33"/>
      <c r="M322" s="34"/>
      <c r="N322" s="34"/>
      <c r="O322" s="34"/>
      <c r="P322" s="34" t="str">
        <f aca="false">IF(OR($D322="",$M322=""),"",IF(IFERROR(INDEX(Settings!$C$11:$C$19,MATCH($L322,Settings!$B$11:$B$19,0)),"Yes")="No","",MAX($M322,$O322)+Settings!$C$6))</f>
        <v/>
      </c>
      <c r="Q322" s="36" t="str">
        <f aca="true">IF($D322="","",IF(IFERROR(INDEX(Settings!$C$11:$C$19,MATCH($L322,Settings!$B$11:$B$19,0)),"Yes")="No","",IF($M322="",IF($N322="","",$N322-TODAY()),IF($P322="","",$P322-TODAY()))))</f>
        <v/>
      </c>
      <c r="R322" s="37" t="str">
        <f aca="true">IF($D322="","",IF(IFERROR(INDEX(Settings!$C$11:$C$19,MATCH($L322,Settings!$B$11:$B$19,0)),"Yes")="No","CLOSED",IF($M322="",IF($N322="","ON TRACK",IF($N322&lt;TODAY(),"OVERDUE",IF($N322-TODAY()&lt;=Settings!$C$5,"DUE SOON","ON TRACK"))),IF($P322&lt;=TODAY(),"FOLLOW-UP DUE","ON TRACK"))))</f>
        <v/>
      </c>
      <c r="S322" s="35"/>
      <c r="T322" s="35"/>
      <c r="U322" s="38"/>
      <c r="V322" s="34"/>
      <c r="W322" s="35" t="str">
        <f aca="false">IF(OR($R322="OVERDUE",$R322="DUE SOON",$R322="FOLLOW-UP DUE"),MAX(W$3:W321)+1,"")</f>
        <v/>
      </c>
    </row>
    <row r="323" customFormat="false" ht="15" hidden="false" customHeight="false" outlineLevel="0" collapsed="false">
      <c r="A323" s="33" t="str">
        <f aca="false">IF($D323="","","JOB-"&amp;TEXT(ROW()-3,"000"))</f>
        <v/>
      </c>
      <c r="B323" s="34"/>
      <c r="C323" s="35"/>
      <c r="D323" s="35"/>
      <c r="E323" s="35"/>
      <c r="F323" s="35"/>
      <c r="G323" s="33"/>
      <c r="H323" s="35"/>
      <c r="I323" s="35"/>
      <c r="J323" s="35"/>
      <c r="K323" s="33"/>
      <c r="L323" s="33"/>
      <c r="M323" s="34"/>
      <c r="N323" s="34"/>
      <c r="O323" s="34"/>
      <c r="P323" s="34" t="str">
        <f aca="false">IF(OR($D323="",$M323=""),"",IF(IFERROR(INDEX(Settings!$C$11:$C$19,MATCH($L323,Settings!$B$11:$B$19,0)),"Yes")="No","",MAX($M323,$O323)+Settings!$C$6))</f>
        <v/>
      </c>
      <c r="Q323" s="36" t="str">
        <f aca="true">IF($D323="","",IF(IFERROR(INDEX(Settings!$C$11:$C$19,MATCH($L323,Settings!$B$11:$B$19,0)),"Yes")="No","",IF($M323="",IF($N323="","",$N323-TODAY()),IF($P323="","",$P323-TODAY()))))</f>
        <v/>
      </c>
      <c r="R323" s="37" t="str">
        <f aca="true">IF($D323="","",IF(IFERROR(INDEX(Settings!$C$11:$C$19,MATCH($L323,Settings!$B$11:$B$19,0)),"Yes")="No","CLOSED",IF($M323="",IF($N323="","ON TRACK",IF($N323&lt;TODAY(),"OVERDUE",IF($N323-TODAY()&lt;=Settings!$C$5,"DUE SOON","ON TRACK"))),IF($P323&lt;=TODAY(),"FOLLOW-UP DUE","ON TRACK"))))</f>
        <v/>
      </c>
      <c r="S323" s="35"/>
      <c r="T323" s="35"/>
      <c r="U323" s="38"/>
      <c r="V323" s="34"/>
      <c r="W323" s="35" t="str">
        <f aca="false">IF(OR($R323="OVERDUE",$R323="DUE SOON",$R323="FOLLOW-UP DUE"),MAX(W$3:W322)+1,"")</f>
        <v/>
      </c>
    </row>
    <row r="324" customFormat="false" ht="15" hidden="false" customHeight="false" outlineLevel="0" collapsed="false">
      <c r="A324" s="33" t="str">
        <f aca="false">IF($D324="","","JOB-"&amp;TEXT(ROW()-3,"000"))</f>
        <v/>
      </c>
      <c r="B324" s="34"/>
      <c r="C324" s="35"/>
      <c r="D324" s="35"/>
      <c r="E324" s="35"/>
      <c r="F324" s="35"/>
      <c r="G324" s="33"/>
      <c r="H324" s="35"/>
      <c r="I324" s="35"/>
      <c r="J324" s="35"/>
      <c r="K324" s="33"/>
      <c r="L324" s="33"/>
      <c r="M324" s="34"/>
      <c r="N324" s="34"/>
      <c r="O324" s="34"/>
      <c r="P324" s="34" t="str">
        <f aca="false">IF(OR($D324="",$M324=""),"",IF(IFERROR(INDEX(Settings!$C$11:$C$19,MATCH($L324,Settings!$B$11:$B$19,0)),"Yes")="No","",MAX($M324,$O324)+Settings!$C$6))</f>
        <v/>
      </c>
      <c r="Q324" s="36" t="str">
        <f aca="true">IF($D324="","",IF(IFERROR(INDEX(Settings!$C$11:$C$19,MATCH($L324,Settings!$B$11:$B$19,0)),"Yes")="No","",IF($M324="",IF($N324="","",$N324-TODAY()),IF($P324="","",$P324-TODAY()))))</f>
        <v/>
      </c>
      <c r="R324" s="37" t="str">
        <f aca="true">IF($D324="","",IF(IFERROR(INDEX(Settings!$C$11:$C$19,MATCH($L324,Settings!$B$11:$B$19,0)),"Yes")="No","CLOSED",IF($M324="",IF($N324="","ON TRACK",IF($N324&lt;TODAY(),"OVERDUE",IF($N324-TODAY()&lt;=Settings!$C$5,"DUE SOON","ON TRACK"))),IF($P324&lt;=TODAY(),"FOLLOW-UP DUE","ON TRACK"))))</f>
        <v/>
      </c>
      <c r="S324" s="35"/>
      <c r="T324" s="35"/>
      <c r="U324" s="38"/>
      <c r="V324" s="34"/>
      <c r="W324" s="35" t="str">
        <f aca="false">IF(OR($R324="OVERDUE",$R324="DUE SOON",$R324="FOLLOW-UP DUE"),MAX(W$3:W323)+1,"")</f>
        <v/>
      </c>
    </row>
    <row r="325" customFormat="false" ht="15" hidden="false" customHeight="false" outlineLevel="0" collapsed="false">
      <c r="A325" s="33" t="str">
        <f aca="false">IF($D325="","","JOB-"&amp;TEXT(ROW()-3,"000"))</f>
        <v/>
      </c>
      <c r="B325" s="34"/>
      <c r="C325" s="35"/>
      <c r="D325" s="35"/>
      <c r="E325" s="35"/>
      <c r="F325" s="35"/>
      <c r="G325" s="33"/>
      <c r="H325" s="35"/>
      <c r="I325" s="35"/>
      <c r="J325" s="35"/>
      <c r="K325" s="33"/>
      <c r="L325" s="33"/>
      <c r="M325" s="34"/>
      <c r="N325" s="34"/>
      <c r="O325" s="34"/>
      <c r="P325" s="34" t="str">
        <f aca="false">IF(OR($D325="",$M325=""),"",IF(IFERROR(INDEX(Settings!$C$11:$C$19,MATCH($L325,Settings!$B$11:$B$19,0)),"Yes")="No","",MAX($M325,$O325)+Settings!$C$6))</f>
        <v/>
      </c>
      <c r="Q325" s="36" t="str">
        <f aca="true">IF($D325="","",IF(IFERROR(INDEX(Settings!$C$11:$C$19,MATCH($L325,Settings!$B$11:$B$19,0)),"Yes")="No","",IF($M325="",IF($N325="","",$N325-TODAY()),IF($P325="","",$P325-TODAY()))))</f>
        <v/>
      </c>
      <c r="R325" s="37" t="str">
        <f aca="true">IF($D325="","",IF(IFERROR(INDEX(Settings!$C$11:$C$19,MATCH($L325,Settings!$B$11:$B$19,0)),"Yes")="No","CLOSED",IF($M325="",IF($N325="","ON TRACK",IF($N325&lt;TODAY(),"OVERDUE",IF($N325-TODAY()&lt;=Settings!$C$5,"DUE SOON","ON TRACK"))),IF($P325&lt;=TODAY(),"FOLLOW-UP DUE","ON TRACK"))))</f>
        <v/>
      </c>
      <c r="S325" s="35"/>
      <c r="T325" s="35"/>
      <c r="U325" s="38"/>
      <c r="V325" s="34"/>
      <c r="W325" s="35" t="str">
        <f aca="false">IF(OR($R325="OVERDUE",$R325="DUE SOON",$R325="FOLLOW-UP DUE"),MAX(W$3:W324)+1,"")</f>
        <v/>
      </c>
    </row>
    <row r="326" customFormat="false" ht="15" hidden="false" customHeight="false" outlineLevel="0" collapsed="false">
      <c r="A326" s="33" t="str">
        <f aca="false">IF($D326="","","JOB-"&amp;TEXT(ROW()-3,"000"))</f>
        <v/>
      </c>
      <c r="B326" s="34"/>
      <c r="C326" s="35"/>
      <c r="D326" s="35"/>
      <c r="E326" s="35"/>
      <c r="F326" s="35"/>
      <c r="G326" s="33"/>
      <c r="H326" s="35"/>
      <c r="I326" s="35"/>
      <c r="J326" s="35"/>
      <c r="K326" s="33"/>
      <c r="L326" s="33"/>
      <c r="M326" s="34"/>
      <c r="N326" s="34"/>
      <c r="O326" s="34"/>
      <c r="P326" s="34" t="str">
        <f aca="false">IF(OR($D326="",$M326=""),"",IF(IFERROR(INDEX(Settings!$C$11:$C$19,MATCH($L326,Settings!$B$11:$B$19,0)),"Yes")="No","",MAX($M326,$O326)+Settings!$C$6))</f>
        <v/>
      </c>
      <c r="Q326" s="36" t="str">
        <f aca="true">IF($D326="","",IF(IFERROR(INDEX(Settings!$C$11:$C$19,MATCH($L326,Settings!$B$11:$B$19,0)),"Yes")="No","",IF($M326="",IF($N326="","",$N326-TODAY()),IF($P326="","",$P326-TODAY()))))</f>
        <v/>
      </c>
      <c r="R326" s="37" t="str">
        <f aca="true">IF($D326="","",IF(IFERROR(INDEX(Settings!$C$11:$C$19,MATCH($L326,Settings!$B$11:$B$19,0)),"Yes")="No","CLOSED",IF($M326="",IF($N326="","ON TRACK",IF($N326&lt;TODAY(),"OVERDUE",IF($N326-TODAY()&lt;=Settings!$C$5,"DUE SOON","ON TRACK"))),IF($P326&lt;=TODAY(),"FOLLOW-UP DUE","ON TRACK"))))</f>
        <v/>
      </c>
      <c r="S326" s="35"/>
      <c r="T326" s="35"/>
      <c r="U326" s="38"/>
      <c r="V326" s="34"/>
      <c r="W326" s="35" t="str">
        <f aca="false">IF(OR($R326="OVERDUE",$R326="DUE SOON",$R326="FOLLOW-UP DUE"),MAX(W$3:W325)+1,"")</f>
        <v/>
      </c>
    </row>
    <row r="327" customFormat="false" ht="15" hidden="false" customHeight="false" outlineLevel="0" collapsed="false">
      <c r="A327" s="33" t="str">
        <f aca="false">IF($D327="","","JOB-"&amp;TEXT(ROW()-3,"000"))</f>
        <v/>
      </c>
      <c r="B327" s="34"/>
      <c r="C327" s="35"/>
      <c r="D327" s="35"/>
      <c r="E327" s="35"/>
      <c r="F327" s="35"/>
      <c r="G327" s="33"/>
      <c r="H327" s="35"/>
      <c r="I327" s="35"/>
      <c r="J327" s="35"/>
      <c r="K327" s="33"/>
      <c r="L327" s="33"/>
      <c r="M327" s="34"/>
      <c r="N327" s="34"/>
      <c r="O327" s="34"/>
      <c r="P327" s="34" t="str">
        <f aca="false">IF(OR($D327="",$M327=""),"",IF(IFERROR(INDEX(Settings!$C$11:$C$19,MATCH($L327,Settings!$B$11:$B$19,0)),"Yes")="No","",MAX($M327,$O327)+Settings!$C$6))</f>
        <v/>
      </c>
      <c r="Q327" s="36" t="str">
        <f aca="true">IF($D327="","",IF(IFERROR(INDEX(Settings!$C$11:$C$19,MATCH($L327,Settings!$B$11:$B$19,0)),"Yes")="No","",IF($M327="",IF($N327="","",$N327-TODAY()),IF($P327="","",$P327-TODAY()))))</f>
        <v/>
      </c>
      <c r="R327" s="37" t="str">
        <f aca="true">IF($D327="","",IF(IFERROR(INDEX(Settings!$C$11:$C$19,MATCH($L327,Settings!$B$11:$B$19,0)),"Yes")="No","CLOSED",IF($M327="",IF($N327="","ON TRACK",IF($N327&lt;TODAY(),"OVERDUE",IF($N327-TODAY()&lt;=Settings!$C$5,"DUE SOON","ON TRACK"))),IF($P327&lt;=TODAY(),"FOLLOW-UP DUE","ON TRACK"))))</f>
        <v/>
      </c>
      <c r="S327" s="35"/>
      <c r="T327" s="35"/>
      <c r="U327" s="38"/>
      <c r="V327" s="34"/>
      <c r="W327" s="35" t="str">
        <f aca="false">IF(OR($R327="OVERDUE",$R327="DUE SOON",$R327="FOLLOW-UP DUE"),MAX(W$3:W326)+1,"")</f>
        <v/>
      </c>
    </row>
    <row r="328" customFormat="false" ht="15" hidden="false" customHeight="false" outlineLevel="0" collapsed="false">
      <c r="A328" s="33" t="str">
        <f aca="false">IF($D328="","","JOB-"&amp;TEXT(ROW()-3,"000"))</f>
        <v/>
      </c>
      <c r="B328" s="34"/>
      <c r="C328" s="35"/>
      <c r="D328" s="35"/>
      <c r="E328" s="35"/>
      <c r="F328" s="35"/>
      <c r="G328" s="33"/>
      <c r="H328" s="35"/>
      <c r="I328" s="35"/>
      <c r="J328" s="35"/>
      <c r="K328" s="33"/>
      <c r="L328" s="33"/>
      <c r="M328" s="34"/>
      <c r="N328" s="34"/>
      <c r="O328" s="34"/>
      <c r="P328" s="34" t="str">
        <f aca="false">IF(OR($D328="",$M328=""),"",IF(IFERROR(INDEX(Settings!$C$11:$C$19,MATCH($L328,Settings!$B$11:$B$19,0)),"Yes")="No","",MAX($M328,$O328)+Settings!$C$6))</f>
        <v/>
      </c>
      <c r="Q328" s="36" t="str">
        <f aca="true">IF($D328="","",IF(IFERROR(INDEX(Settings!$C$11:$C$19,MATCH($L328,Settings!$B$11:$B$19,0)),"Yes")="No","",IF($M328="",IF($N328="","",$N328-TODAY()),IF($P328="","",$P328-TODAY()))))</f>
        <v/>
      </c>
      <c r="R328" s="37" t="str">
        <f aca="true">IF($D328="","",IF(IFERROR(INDEX(Settings!$C$11:$C$19,MATCH($L328,Settings!$B$11:$B$19,0)),"Yes")="No","CLOSED",IF($M328="",IF($N328="","ON TRACK",IF($N328&lt;TODAY(),"OVERDUE",IF($N328-TODAY()&lt;=Settings!$C$5,"DUE SOON","ON TRACK"))),IF($P328&lt;=TODAY(),"FOLLOW-UP DUE","ON TRACK"))))</f>
        <v/>
      </c>
      <c r="S328" s="35"/>
      <c r="T328" s="35"/>
      <c r="U328" s="38"/>
      <c r="V328" s="34"/>
      <c r="W328" s="35" t="str">
        <f aca="false">IF(OR($R328="OVERDUE",$R328="DUE SOON",$R328="FOLLOW-UP DUE"),MAX(W$3:W327)+1,"")</f>
        <v/>
      </c>
    </row>
    <row r="329" customFormat="false" ht="15" hidden="false" customHeight="false" outlineLevel="0" collapsed="false">
      <c r="A329" s="33" t="str">
        <f aca="false">IF($D329="","","JOB-"&amp;TEXT(ROW()-3,"000"))</f>
        <v/>
      </c>
      <c r="B329" s="34"/>
      <c r="C329" s="35"/>
      <c r="D329" s="35"/>
      <c r="E329" s="35"/>
      <c r="F329" s="35"/>
      <c r="G329" s="33"/>
      <c r="H329" s="35"/>
      <c r="I329" s="35"/>
      <c r="J329" s="35"/>
      <c r="K329" s="33"/>
      <c r="L329" s="33"/>
      <c r="M329" s="34"/>
      <c r="N329" s="34"/>
      <c r="O329" s="34"/>
      <c r="P329" s="34" t="str">
        <f aca="false">IF(OR($D329="",$M329=""),"",IF(IFERROR(INDEX(Settings!$C$11:$C$19,MATCH($L329,Settings!$B$11:$B$19,0)),"Yes")="No","",MAX($M329,$O329)+Settings!$C$6))</f>
        <v/>
      </c>
      <c r="Q329" s="36" t="str">
        <f aca="true">IF($D329="","",IF(IFERROR(INDEX(Settings!$C$11:$C$19,MATCH($L329,Settings!$B$11:$B$19,0)),"Yes")="No","",IF($M329="",IF($N329="","",$N329-TODAY()),IF($P329="","",$P329-TODAY()))))</f>
        <v/>
      </c>
      <c r="R329" s="37" t="str">
        <f aca="true">IF($D329="","",IF(IFERROR(INDEX(Settings!$C$11:$C$19,MATCH($L329,Settings!$B$11:$B$19,0)),"Yes")="No","CLOSED",IF($M329="",IF($N329="","ON TRACK",IF($N329&lt;TODAY(),"OVERDUE",IF($N329-TODAY()&lt;=Settings!$C$5,"DUE SOON","ON TRACK"))),IF($P329&lt;=TODAY(),"FOLLOW-UP DUE","ON TRACK"))))</f>
        <v/>
      </c>
      <c r="S329" s="35"/>
      <c r="T329" s="35"/>
      <c r="U329" s="38"/>
      <c r="V329" s="34"/>
      <c r="W329" s="35" t="str">
        <f aca="false">IF(OR($R329="OVERDUE",$R329="DUE SOON",$R329="FOLLOW-UP DUE"),MAX(W$3:W328)+1,"")</f>
        <v/>
      </c>
    </row>
    <row r="330" customFormat="false" ht="15" hidden="false" customHeight="false" outlineLevel="0" collapsed="false">
      <c r="A330" s="33" t="str">
        <f aca="false">IF($D330="","","JOB-"&amp;TEXT(ROW()-3,"000"))</f>
        <v/>
      </c>
      <c r="B330" s="34"/>
      <c r="C330" s="35"/>
      <c r="D330" s="35"/>
      <c r="E330" s="35"/>
      <c r="F330" s="35"/>
      <c r="G330" s="33"/>
      <c r="H330" s="35"/>
      <c r="I330" s="35"/>
      <c r="J330" s="35"/>
      <c r="K330" s="33"/>
      <c r="L330" s="33"/>
      <c r="M330" s="34"/>
      <c r="N330" s="34"/>
      <c r="O330" s="34"/>
      <c r="P330" s="34" t="str">
        <f aca="false">IF(OR($D330="",$M330=""),"",IF(IFERROR(INDEX(Settings!$C$11:$C$19,MATCH($L330,Settings!$B$11:$B$19,0)),"Yes")="No","",MAX($M330,$O330)+Settings!$C$6))</f>
        <v/>
      </c>
      <c r="Q330" s="36" t="str">
        <f aca="true">IF($D330="","",IF(IFERROR(INDEX(Settings!$C$11:$C$19,MATCH($L330,Settings!$B$11:$B$19,0)),"Yes")="No","",IF($M330="",IF($N330="","",$N330-TODAY()),IF($P330="","",$P330-TODAY()))))</f>
        <v/>
      </c>
      <c r="R330" s="37" t="str">
        <f aca="true">IF($D330="","",IF(IFERROR(INDEX(Settings!$C$11:$C$19,MATCH($L330,Settings!$B$11:$B$19,0)),"Yes")="No","CLOSED",IF($M330="",IF($N330="","ON TRACK",IF($N330&lt;TODAY(),"OVERDUE",IF($N330-TODAY()&lt;=Settings!$C$5,"DUE SOON","ON TRACK"))),IF($P330&lt;=TODAY(),"FOLLOW-UP DUE","ON TRACK"))))</f>
        <v/>
      </c>
      <c r="S330" s="35"/>
      <c r="T330" s="35"/>
      <c r="U330" s="38"/>
      <c r="V330" s="34"/>
      <c r="W330" s="35" t="str">
        <f aca="false">IF(OR($R330="OVERDUE",$R330="DUE SOON",$R330="FOLLOW-UP DUE"),MAX(W$3:W329)+1,"")</f>
        <v/>
      </c>
    </row>
    <row r="331" customFormat="false" ht="15" hidden="false" customHeight="false" outlineLevel="0" collapsed="false">
      <c r="A331" s="33" t="str">
        <f aca="false">IF($D331="","","JOB-"&amp;TEXT(ROW()-3,"000"))</f>
        <v/>
      </c>
      <c r="B331" s="34"/>
      <c r="C331" s="35"/>
      <c r="D331" s="35"/>
      <c r="E331" s="35"/>
      <c r="F331" s="35"/>
      <c r="G331" s="33"/>
      <c r="H331" s="35"/>
      <c r="I331" s="35"/>
      <c r="J331" s="35"/>
      <c r="K331" s="33"/>
      <c r="L331" s="33"/>
      <c r="M331" s="34"/>
      <c r="N331" s="34"/>
      <c r="O331" s="34"/>
      <c r="P331" s="34" t="str">
        <f aca="false">IF(OR($D331="",$M331=""),"",IF(IFERROR(INDEX(Settings!$C$11:$C$19,MATCH($L331,Settings!$B$11:$B$19,0)),"Yes")="No","",MAX($M331,$O331)+Settings!$C$6))</f>
        <v/>
      </c>
      <c r="Q331" s="36" t="str">
        <f aca="true">IF($D331="","",IF(IFERROR(INDEX(Settings!$C$11:$C$19,MATCH($L331,Settings!$B$11:$B$19,0)),"Yes")="No","",IF($M331="",IF($N331="","",$N331-TODAY()),IF($P331="","",$P331-TODAY()))))</f>
        <v/>
      </c>
      <c r="R331" s="37" t="str">
        <f aca="true">IF($D331="","",IF(IFERROR(INDEX(Settings!$C$11:$C$19,MATCH($L331,Settings!$B$11:$B$19,0)),"Yes")="No","CLOSED",IF($M331="",IF($N331="","ON TRACK",IF($N331&lt;TODAY(),"OVERDUE",IF($N331-TODAY()&lt;=Settings!$C$5,"DUE SOON","ON TRACK"))),IF($P331&lt;=TODAY(),"FOLLOW-UP DUE","ON TRACK"))))</f>
        <v/>
      </c>
      <c r="S331" s="35"/>
      <c r="T331" s="35"/>
      <c r="U331" s="38"/>
      <c r="V331" s="34"/>
      <c r="W331" s="35" t="str">
        <f aca="false">IF(OR($R331="OVERDUE",$R331="DUE SOON",$R331="FOLLOW-UP DUE"),MAX(W$3:W330)+1,"")</f>
        <v/>
      </c>
    </row>
    <row r="332" customFormat="false" ht="15" hidden="false" customHeight="false" outlineLevel="0" collapsed="false">
      <c r="A332" s="33" t="str">
        <f aca="false">IF($D332="","","JOB-"&amp;TEXT(ROW()-3,"000"))</f>
        <v/>
      </c>
      <c r="B332" s="34"/>
      <c r="C332" s="35"/>
      <c r="D332" s="35"/>
      <c r="E332" s="35"/>
      <c r="F332" s="35"/>
      <c r="G332" s="33"/>
      <c r="H332" s="35"/>
      <c r="I332" s="35"/>
      <c r="J332" s="35"/>
      <c r="K332" s="33"/>
      <c r="L332" s="33"/>
      <c r="M332" s="34"/>
      <c r="N332" s="34"/>
      <c r="O332" s="34"/>
      <c r="P332" s="34" t="str">
        <f aca="false">IF(OR($D332="",$M332=""),"",IF(IFERROR(INDEX(Settings!$C$11:$C$19,MATCH($L332,Settings!$B$11:$B$19,0)),"Yes")="No","",MAX($M332,$O332)+Settings!$C$6))</f>
        <v/>
      </c>
      <c r="Q332" s="36" t="str">
        <f aca="true">IF($D332="","",IF(IFERROR(INDEX(Settings!$C$11:$C$19,MATCH($L332,Settings!$B$11:$B$19,0)),"Yes")="No","",IF($M332="",IF($N332="","",$N332-TODAY()),IF($P332="","",$P332-TODAY()))))</f>
        <v/>
      </c>
      <c r="R332" s="37" t="str">
        <f aca="true">IF($D332="","",IF(IFERROR(INDEX(Settings!$C$11:$C$19,MATCH($L332,Settings!$B$11:$B$19,0)),"Yes")="No","CLOSED",IF($M332="",IF($N332="","ON TRACK",IF($N332&lt;TODAY(),"OVERDUE",IF($N332-TODAY()&lt;=Settings!$C$5,"DUE SOON","ON TRACK"))),IF($P332&lt;=TODAY(),"FOLLOW-UP DUE","ON TRACK"))))</f>
        <v/>
      </c>
      <c r="S332" s="35"/>
      <c r="T332" s="35"/>
      <c r="U332" s="38"/>
      <c r="V332" s="34"/>
      <c r="W332" s="35" t="str">
        <f aca="false">IF(OR($R332="OVERDUE",$R332="DUE SOON",$R332="FOLLOW-UP DUE"),MAX(W$3:W331)+1,"")</f>
        <v/>
      </c>
    </row>
    <row r="333" customFormat="false" ht="15" hidden="false" customHeight="false" outlineLevel="0" collapsed="false">
      <c r="A333" s="33" t="str">
        <f aca="false">IF($D333="","","JOB-"&amp;TEXT(ROW()-3,"000"))</f>
        <v/>
      </c>
      <c r="B333" s="34"/>
      <c r="C333" s="35"/>
      <c r="D333" s="35"/>
      <c r="E333" s="35"/>
      <c r="F333" s="35"/>
      <c r="G333" s="33"/>
      <c r="H333" s="35"/>
      <c r="I333" s="35"/>
      <c r="J333" s="35"/>
      <c r="K333" s="33"/>
      <c r="L333" s="33"/>
      <c r="M333" s="34"/>
      <c r="N333" s="34"/>
      <c r="O333" s="34"/>
      <c r="P333" s="34" t="str">
        <f aca="false">IF(OR($D333="",$M333=""),"",IF(IFERROR(INDEX(Settings!$C$11:$C$19,MATCH($L333,Settings!$B$11:$B$19,0)),"Yes")="No","",MAX($M333,$O333)+Settings!$C$6))</f>
        <v/>
      </c>
      <c r="Q333" s="36" t="str">
        <f aca="true">IF($D333="","",IF(IFERROR(INDEX(Settings!$C$11:$C$19,MATCH($L333,Settings!$B$11:$B$19,0)),"Yes")="No","",IF($M333="",IF($N333="","",$N333-TODAY()),IF($P333="","",$P333-TODAY()))))</f>
        <v/>
      </c>
      <c r="R333" s="37" t="str">
        <f aca="true">IF($D333="","",IF(IFERROR(INDEX(Settings!$C$11:$C$19,MATCH($L333,Settings!$B$11:$B$19,0)),"Yes")="No","CLOSED",IF($M333="",IF($N333="","ON TRACK",IF($N333&lt;TODAY(),"OVERDUE",IF($N333-TODAY()&lt;=Settings!$C$5,"DUE SOON","ON TRACK"))),IF($P333&lt;=TODAY(),"FOLLOW-UP DUE","ON TRACK"))))</f>
        <v/>
      </c>
      <c r="S333" s="35"/>
      <c r="T333" s="35"/>
      <c r="U333" s="38"/>
      <c r="V333" s="34"/>
      <c r="W333" s="35" t="str">
        <f aca="false">IF(OR($R333="OVERDUE",$R333="DUE SOON",$R333="FOLLOW-UP DUE"),MAX(W$3:W332)+1,"")</f>
        <v/>
      </c>
    </row>
    <row r="334" customFormat="false" ht="15" hidden="false" customHeight="false" outlineLevel="0" collapsed="false">
      <c r="A334" s="33" t="str">
        <f aca="false">IF($D334="","","JOB-"&amp;TEXT(ROW()-3,"000"))</f>
        <v/>
      </c>
      <c r="B334" s="34"/>
      <c r="C334" s="35"/>
      <c r="D334" s="35"/>
      <c r="E334" s="35"/>
      <c r="F334" s="35"/>
      <c r="G334" s="33"/>
      <c r="H334" s="35"/>
      <c r="I334" s="35"/>
      <c r="J334" s="35"/>
      <c r="K334" s="33"/>
      <c r="L334" s="33"/>
      <c r="M334" s="34"/>
      <c r="N334" s="34"/>
      <c r="O334" s="34"/>
      <c r="P334" s="34" t="str">
        <f aca="false">IF(OR($D334="",$M334=""),"",IF(IFERROR(INDEX(Settings!$C$11:$C$19,MATCH($L334,Settings!$B$11:$B$19,0)),"Yes")="No","",MAX($M334,$O334)+Settings!$C$6))</f>
        <v/>
      </c>
      <c r="Q334" s="36" t="str">
        <f aca="true">IF($D334="","",IF(IFERROR(INDEX(Settings!$C$11:$C$19,MATCH($L334,Settings!$B$11:$B$19,0)),"Yes")="No","",IF($M334="",IF($N334="","",$N334-TODAY()),IF($P334="","",$P334-TODAY()))))</f>
        <v/>
      </c>
      <c r="R334" s="37" t="str">
        <f aca="true">IF($D334="","",IF(IFERROR(INDEX(Settings!$C$11:$C$19,MATCH($L334,Settings!$B$11:$B$19,0)),"Yes")="No","CLOSED",IF($M334="",IF($N334="","ON TRACK",IF($N334&lt;TODAY(),"OVERDUE",IF($N334-TODAY()&lt;=Settings!$C$5,"DUE SOON","ON TRACK"))),IF($P334&lt;=TODAY(),"FOLLOW-UP DUE","ON TRACK"))))</f>
        <v/>
      </c>
      <c r="S334" s="35"/>
      <c r="T334" s="35"/>
      <c r="U334" s="38"/>
      <c r="V334" s="34"/>
      <c r="W334" s="35" t="str">
        <f aca="false">IF(OR($R334="OVERDUE",$R334="DUE SOON",$R334="FOLLOW-UP DUE"),MAX(W$3:W333)+1,"")</f>
        <v/>
      </c>
    </row>
    <row r="335" customFormat="false" ht="15" hidden="false" customHeight="false" outlineLevel="0" collapsed="false">
      <c r="A335" s="33" t="str">
        <f aca="false">IF($D335="","","JOB-"&amp;TEXT(ROW()-3,"000"))</f>
        <v/>
      </c>
      <c r="B335" s="34"/>
      <c r="C335" s="35"/>
      <c r="D335" s="35"/>
      <c r="E335" s="35"/>
      <c r="F335" s="35"/>
      <c r="G335" s="33"/>
      <c r="H335" s="35"/>
      <c r="I335" s="35"/>
      <c r="J335" s="35"/>
      <c r="K335" s="33"/>
      <c r="L335" s="33"/>
      <c r="M335" s="34"/>
      <c r="N335" s="34"/>
      <c r="O335" s="34"/>
      <c r="P335" s="34" t="str">
        <f aca="false">IF(OR($D335="",$M335=""),"",IF(IFERROR(INDEX(Settings!$C$11:$C$19,MATCH($L335,Settings!$B$11:$B$19,0)),"Yes")="No","",MAX($M335,$O335)+Settings!$C$6))</f>
        <v/>
      </c>
      <c r="Q335" s="36" t="str">
        <f aca="true">IF($D335="","",IF(IFERROR(INDEX(Settings!$C$11:$C$19,MATCH($L335,Settings!$B$11:$B$19,0)),"Yes")="No","",IF($M335="",IF($N335="","",$N335-TODAY()),IF($P335="","",$P335-TODAY()))))</f>
        <v/>
      </c>
      <c r="R335" s="37" t="str">
        <f aca="true">IF($D335="","",IF(IFERROR(INDEX(Settings!$C$11:$C$19,MATCH($L335,Settings!$B$11:$B$19,0)),"Yes")="No","CLOSED",IF($M335="",IF($N335="","ON TRACK",IF($N335&lt;TODAY(),"OVERDUE",IF($N335-TODAY()&lt;=Settings!$C$5,"DUE SOON","ON TRACK"))),IF($P335&lt;=TODAY(),"FOLLOW-UP DUE","ON TRACK"))))</f>
        <v/>
      </c>
      <c r="S335" s="35"/>
      <c r="T335" s="35"/>
      <c r="U335" s="38"/>
      <c r="V335" s="34"/>
      <c r="W335" s="35" t="str">
        <f aca="false">IF(OR($R335="OVERDUE",$R335="DUE SOON",$R335="FOLLOW-UP DUE"),MAX(W$3:W334)+1,"")</f>
        <v/>
      </c>
    </row>
    <row r="336" customFormat="false" ht="15" hidden="false" customHeight="false" outlineLevel="0" collapsed="false">
      <c r="A336" s="33" t="str">
        <f aca="false">IF($D336="","","JOB-"&amp;TEXT(ROW()-3,"000"))</f>
        <v/>
      </c>
      <c r="B336" s="34"/>
      <c r="C336" s="35"/>
      <c r="D336" s="35"/>
      <c r="E336" s="35"/>
      <c r="F336" s="35"/>
      <c r="G336" s="33"/>
      <c r="H336" s="35"/>
      <c r="I336" s="35"/>
      <c r="J336" s="35"/>
      <c r="K336" s="33"/>
      <c r="L336" s="33"/>
      <c r="M336" s="34"/>
      <c r="N336" s="34"/>
      <c r="O336" s="34"/>
      <c r="P336" s="34" t="str">
        <f aca="false">IF(OR($D336="",$M336=""),"",IF(IFERROR(INDEX(Settings!$C$11:$C$19,MATCH($L336,Settings!$B$11:$B$19,0)),"Yes")="No","",MAX($M336,$O336)+Settings!$C$6))</f>
        <v/>
      </c>
      <c r="Q336" s="36" t="str">
        <f aca="true">IF($D336="","",IF(IFERROR(INDEX(Settings!$C$11:$C$19,MATCH($L336,Settings!$B$11:$B$19,0)),"Yes")="No","",IF($M336="",IF($N336="","",$N336-TODAY()),IF($P336="","",$P336-TODAY()))))</f>
        <v/>
      </c>
      <c r="R336" s="37" t="str">
        <f aca="true">IF($D336="","",IF(IFERROR(INDEX(Settings!$C$11:$C$19,MATCH($L336,Settings!$B$11:$B$19,0)),"Yes")="No","CLOSED",IF($M336="",IF($N336="","ON TRACK",IF($N336&lt;TODAY(),"OVERDUE",IF($N336-TODAY()&lt;=Settings!$C$5,"DUE SOON","ON TRACK"))),IF($P336&lt;=TODAY(),"FOLLOW-UP DUE","ON TRACK"))))</f>
        <v/>
      </c>
      <c r="S336" s="35"/>
      <c r="T336" s="35"/>
      <c r="U336" s="38"/>
      <c r="V336" s="34"/>
      <c r="W336" s="35" t="str">
        <f aca="false">IF(OR($R336="OVERDUE",$R336="DUE SOON",$R336="FOLLOW-UP DUE"),MAX(W$3:W335)+1,"")</f>
        <v/>
      </c>
    </row>
    <row r="337" customFormat="false" ht="15" hidden="false" customHeight="false" outlineLevel="0" collapsed="false">
      <c r="A337" s="33" t="str">
        <f aca="false">IF($D337="","","JOB-"&amp;TEXT(ROW()-3,"000"))</f>
        <v/>
      </c>
      <c r="B337" s="34"/>
      <c r="C337" s="35"/>
      <c r="D337" s="35"/>
      <c r="E337" s="35"/>
      <c r="F337" s="35"/>
      <c r="G337" s="33"/>
      <c r="H337" s="35"/>
      <c r="I337" s="35"/>
      <c r="J337" s="35"/>
      <c r="K337" s="33"/>
      <c r="L337" s="33"/>
      <c r="M337" s="34"/>
      <c r="N337" s="34"/>
      <c r="O337" s="34"/>
      <c r="P337" s="34" t="str">
        <f aca="false">IF(OR($D337="",$M337=""),"",IF(IFERROR(INDEX(Settings!$C$11:$C$19,MATCH($L337,Settings!$B$11:$B$19,0)),"Yes")="No","",MAX($M337,$O337)+Settings!$C$6))</f>
        <v/>
      </c>
      <c r="Q337" s="36" t="str">
        <f aca="true">IF($D337="","",IF(IFERROR(INDEX(Settings!$C$11:$C$19,MATCH($L337,Settings!$B$11:$B$19,0)),"Yes")="No","",IF($M337="",IF($N337="","",$N337-TODAY()),IF($P337="","",$P337-TODAY()))))</f>
        <v/>
      </c>
      <c r="R337" s="37" t="str">
        <f aca="true">IF($D337="","",IF(IFERROR(INDEX(Settings!$C$11:$C$19,MATCH($L337,Settings!$B$11:$B$19,0)),"Yes")="No","CLOSED",IF($M337="",IF($N337="","ON TRACK",IF($N337&lt;TODAY(),"OVERDUE",IF($N337-TODAY()&lt;=Settings!$C$5,"DUE SOON","ON TRACK"))),IF($P337&lt;=TODAY(),"FOLLOW-UP DUE","ON TRACK"))))</f>
        <v/>
      </c>
      <c r="S337" s="35"/>
      <c r="T337" s="35"/>
      <c r="U337" s="38"/>
      <c r="V337" s="34"/>
      <c r="W337" s="35" t="str">
        <f aca="false">IF(OR($R337="OVERDUE",$R337="DUE SOON",$R337="FOLLOW-UP DUE"),MAX(W$3:W336)+1,"")</f>
        <v/>
      </c>
    </row>
    <row r="338" customFormat="false" ht="15" hidden="false" customHeight="false" outlineLevel="0" collapsed="false">
      <c r="A338" s="33" t="str">
        <f aca="false">IF($D338="","","JOB-"&amp;TEXT(ROW()-3,"000"))</f>
        <v/>
      </c>
      <c r="B338" s="34"/>
      <c r="C338" s="35"/>
      <c r="D338" s="35"/>
      <c r="E338" s="35"/>
      <c r="F338" s="35"/>
      <c r="G338" s="33"/>
      <c r="H338" s="35"/>
      <c r="I338" s="35"/>
      <c r="J338" s="35"/>
      <c r="K338" s="33"/>
      <c r="L338" s="33"/>
      <c r="M338" s="34"/>
      <c r="N338" s="34"/>
      <c r="O338" s="34"/>
      <c r="P338" s="34" t="str">
        <f aca="false">IF(OR($D338="",$M338=""),"",IF(IFERROR(INDEX(Settings!$C$11:$C$19,MATCH($L338,Settings!$B$11:$B$19,0)),"Yes")="No","",MAX($M338,$O338)+Settings!$C$6))</f>
        <v/>
      </c>
      <c r="Q338" s="36" t="str">
        <f aca="true">IF($D338="","",IF(IFERROR(INDEX(Settings!$C$11:$C$19,MATCH($L338,Settings!$B$11:$B$19,0)),"Yes")="No","",IF($M338="",IF($N338="","",$N338-TODAY()),IF($P338="","",$P338-TODAY()))))</f>
        <v/>
      </c>
      <c r="R338" s="37" t="str">
        <f aca="true">IF($D338="","",IF(IFERROR(INDEX(Settings!$C$11:$C$19,MATCH($L338,Settings!$B$11:$B$19,0)),"Yes")="No","CLOSED",IF($M338="",IF($N338="","ON TRACK",IF($N338&lt;TODAY(),"OVERDUE",IF($N338-TODAY()&lt;=Settings!$C$5,"DUE SOON","ON TRACK"))),IF($P338&lt;=TODAY(),"FOLLOW-UP DUE","ON TRACK"))))</f>
        <v/>
      </c>
      <c r="S338" s="35"/>
      <c r="T338" s="35"/>
      <c r="U338" s="38"/>
      <c r="V338" s="34"/>
      <c r="W338" s="35" t="str">
        <f aca="false">IF(OR($R338="OVERDUE",$R338="DUE SOON",$R338="FOLLOW-UP DUE"),MAX(W$3:W337)+1,"")</f>
        <v/>
      </c>
    </row>
    <row r="339" customFormat="false" ht="15" hidden="false" customHeight="false" outlineLevel="0" collapsed="false">
      <c r="A339" s="33" t="str">
        <f aca="false">IF($D339="","","JOB-"&amp;TEXT(ROW()-3,"000"))</f>
        <v/>
      </c>
      <c r="B339" s="34"/>
      <c r="C339" s="35"/>
      <c r="D339" s="35"/>
      <c r="E339" s="35"/>
      <c r="F339" s="35"/>
      <c r="G339" s="33"/>
      <c r="H339" s="35"/>
      <c r="I339" s="35"/>
      <c r="J339" s="35"/>
      <c r="K339" s="33"/>
      <c r="L339" s="33"/>
      <c r="M339" s="34"/>
      <c r="N339" s="34"/>
      <c r="O339" s="34"/>
      <c r="P339" s="34" t="str">
        <f aca="false">IF(OR($D339="",$M339=""),"",IF(IFERROR(INDEX(Settings!$C$11:$C$19,MATCH($L339,Settings!$B$11:$B$19,0)),"Yes")="No","",MAX($M339,$O339)+Settings!$C$6))</f>
        <v/>
      </c>
      <c r="Q339" s="36" t="str">
        <f aca="true">IF($D339="","",IF(IFERROR(INDEX(Settings!$C$11:$C$19,MATCH($L339,Settings!$B$11:$B$19,0)),"Yes")="No","",IF($M339="",IF($N339="","",$N339-TODAY()),IF($P339="","",$P339-TODAY()))))</f>
        <v/>
      </c>
      <c r="R339" s="37" t="str">
        <f aca="true">IF($D339="","",IF(IFERROR(INDEX(Settings!$C$11:$C$19,MATCH($L339,Settings!$B$11:$B$19,0)),"Yes")="No","CLOSED",IF($M339="",IF($N339="","ON TRACK",IF($N339&lt;TODAY(),"OVERDUE",IF($N339-TODAY()&lt;=Settings!$C$5,"DUE SOON","ON TRACK"))),IF($P339&lt;=TODAY(),"FOLLOW-UP DUE","ON TRACK"))))</f>
        <v/>
      </c>
      <c r="S339" s="35"/>
      <c r="T339" s="35"/>
      <c r="U339" s="38"/>
      <c r="V339" s="34"/>
      <c r="W339" s="35" t="str">
        <f aca="false">IF(OR($R339="OVERDUE",$R339="DUE SOON",$R339="FOLLOW-UP DUE"),MAX(W$3:W338)+1,"")</f>
        <v/>
      </c>
    </row>
    <row r="340" customFormat="false" ht="15" hidden="false" customHeight="false" outlineLevel="0" collapsed="false">
      <c r="A340" s="33" t="str">
        <f aca="false">IF($D340="","","JOB-"&amp;TEXT(ROW()-3,"000"))</f>
        <v/>
      </c>
      <c r="B340" s="34"/>
      <c r="C340" s="35"/>
      <c r="D340" s="35"/>
      <c r="E340" s="35"/>
      <c r="F340" s="35"/>
      <c r="G340" s="33"/>
      <c r="H340" s="35"/>
      <c r="I340" s="35"/>
      <c r="J340" s="35"/>
      <c r="K340" s="33"/>
      <c r="L340" s="33"/>
      <c r="M340" s="34"/>
      <c r="N340" s="34"/>
      <c r="O340" s="34"/>
      <c r="P340" s="34" t="str">
        <f aca="false">IF(OR($D340="",$M340=""),"",IF(IFERROR(INDEX(Settings!$C$11:$C$19,MATCH($L340,Settings!$B$11:$B$19,0)),"Yes")="No","",MAX($M340,$O340)+Settings!$C$6))</f>
        <v/>
      </c>
      <c r="Q340" s="36" t="str">
        <f aca="true">IF($D340="","",IF(IFERROR(INDEX(Settings!$C$11:$C$19,MATCH($L340,Settings!$B$11:$B$19,0)),"Yes")="No","",IF($M340="",IF($N340="","",$N340-TODAY()),IF($P340="","",$P340-TODAY()))))</f>
        <v/>
      </c>
      <c r="R340" s="37" t="str">
        <f aca="true">IF($D340="","",IF(IFERROR(INDEX(Settings!$C$11:$C$19,MATCH($L340,Settings!$B$11:$B$19,0)),"Yes")="No","CLOSED",IF($M340="",IF($N340="","ON TRACK",IF($N340&lt;TODAY(),"OVERDUE",IF($N340-TODAY()&lt;=Settings!$C$5,"DUE SOON","ON TRACK"))),IF($P340&lt;=TODAY(),"FOLLOW-UP DUE","ON TRACK"))))</f>
        <v/>
      </c>
      <c r="S340" s="35"/>
      <c r="T340" s="35"/>
      <c r="U340" s="38"/>
      <c r="V340" s="34"/>
      <c r="W340" s="35" t="str">
        <f aca="false">IF(OR($R340="OVERDUE",$R340="DUE SOON",$R340="FOLLOW-UP DUE"),MAX(W$3:W339)+1,"")</f>
        <v/>
      </c>
    </row>
    <row r="341" customFormat="false" ht="15" hidden="false" customHeight="false" outlineLevel="0" collapsed="false">
      <c r="A341" s="33" t="str">
        <f aca="false">IF($D341="","","JOB-"&amp;TEXT(ROW()-3,"000"))</f>
        <v/>
      </c>
      <c r="B341" s="34"/>
      <c r="C341" s="35"/>
      <c r="D341" s="35"/>
      <c r="E341" s="35"/>
      <c r="F341" s="35"/>
      <c r="G341" s="33"/>
      <c r="H341" s="35"/>
      <c r="I341" s="35"/>
      <c r="J341" s="35"/>
      <c r="K341" s="33"/>
      <c r="L341" s="33"/>
      <c r="M341" s="34"/>
      <c r="N341" s="34"/>
      <c r="O341" s="34"/>
      <c r="P341" s="34" t="str">
        <f aca="false">IF(OR($D341="",$M341=""),"",IF(IFERROR(INDEX(Settings!$C$11:$C$19,MATCH($L341,Settings!$B$11:$B$19,0)),"Yes")="No","",MAX($M341,$O341)+Settings!$C$6))</f>
        <v/>
      </c>
      <c r="Q341" s="36" t="str">
        <f aca="true">IF($D341="","",IF(IFERROR(INDEX(Settings!$C$11:$C$19,MATCH($L341,Settings!$B$11:$B$19,0)),"Yes")="No","",IF($M341="",IF($N341="","",$N341-TODAY()),IF($P341="","",$P341-TODAY()))))</f>
        <v/>
      </c>
      <c r="R341" s="37" t="str">
        <f aca="true">IF($D341="","",IF(IFERROR(INDEX(Settings!$C$11:$C$19,MATCH($L341,Settings!$B$11:$B$19,0)),"Yes")="No","CLOSED",IF($M341="",IF($N341="","ON TRACK",IF($N341&lt;TODAY(),"OVERDUE",IF($N341-TODAY()&lt;=Settings!$C$5,"DUE SOON","ON TRACK"))),IF($P341&lt;=TODAY(),"FOLLOW-UP DUE","ON TRACK"))))</f>
        <v/>
      </c>
      <c r="S341" s="35"/>
      <c r="T341" s="35"/>
      <c r="U341" s="38"/>
      <c r="V341" s="34"/>
      <c r="W341" s="35" t="str">
        <f aca="false">IF(OR($R341="OVERDUE",$R341="DUE SOON",$R341="FOLLOW-UP DUE"),MAX(W$3:W340)+1,"")</f>
        <v/>
      </c>
    </row>
    <row r="342" customFormat="false" ht="15" hidden="false" customHeight="false" outlineLevel="0" collapsed="false">
      <c r="A342" s="33" t="str">
        <f aca="false">IF($D342="","","JOB-"&amp;TEXT(ROW()-3,"000"))</f>
        <v/>
      </c>
      <c r="B342" s="34"/>
      <c r="C342" s="35"/>
      <c r="D342" s="35"/>
      <c r="E342" s="35"/>
      <c r="F342" s="35"/>
      <c r="G342" s="33"/>
      <c r="H342" s="35"/>
      <c r="I342" s="35"/>
      <c r="J342" s="35"/>
      <c r="K342" s="33"/>
      <c r="L342" s="33"/>
      <c r="M342" s="34"/>
      <c r="N342" s="34"/>
      <c r="O342" s="34"/>
      <c r="P342" s="34" t="str">
        <f aca="false">IF(OR($D342="",$M342=""),"",IF(IFERROR(INDEX(Settings!$C$11:$C$19,MATCH($L342,Settings!$B$11:$B$19,0)),"Yes")="No","",MAX($M342,$O342)+Settings!$C$6))</f>
        <v/>
      </c>
      <c r="Q342" s="36" t="str">
        <f aca="true">IF($D342="","",IF(IFERROR(INDEX(Settings!$C$11:$C$19,MATCH($L342,Settings!$B$11:$B$19,0)),"Yes")="No","",IF($M342="",IF($N342="","",$N342-TODAY()),IF($P342="","",$P342-TODAY()))))</f>
        <v/>
      </c>
      <c r="R342" s="37" t="str">
        <f aca="true">IF($D342="","",IF(IFERROR(INDEX(Settings!$C$11:$C$19,MATCH($L342,Settings!$B$11:$B$19,0)),"Yes")="No","CLOSED",IF($M342="",IF($N342="","ON TRACK",IF($N342&lt;TODAY(),"OVERDUE",IF($N342-TODAY()&lt;=Settings!$C$5,"DUE SOON","ON TRACK"))),IF($P342&lt;=TODAY(),"FOLLOW-UP DUE","ON TRACK"))))</f>
        <v/>
      </c>
      <c r="S342" s="35"/>
      <c r="T342" s="35"/>
      <c r="U342" s="38"/>
      <c r="V342" s="34"/>
      <c r="W342" s="35" t="str">
        <f aca="false">IF(OR($R342="OVERDUE",$R342="DUE SOON",$R342="FOLLOW-UP DUE"),MAX(W$3:W341)+1,"")</f>
        <v/>
      </c>
    </row>
    <row r="343" customFormat="false" ht="15" hidden="false" customHeight="false" outlineLevel="0" collapsed="false">
      <c r="A343" s="33" t="str">
        <f aca="false">IF($D343="","","JOB-"&amp;TEXT(ROW()-3,"000"))</f>
        <v/>
      </c>
      <c r="B343" s="34"/>
      <c r="C343" s="35"/>
      <c r="D343" s="35"/>
      <c r="E343" s="35"/>
      <c r="F343" s="35"/>
      <c r="G343" s="33"/>
      <c r="H343" s="35"/>
      <c r="I343" s="35"/>
      <c r="J343" s="35"/>
      <c r="K343" s="33"/>
      <c r="L343" s="33"/>
      <c r="M343" s="34"/>
      <c r="N343" s="34"/>
      <c r="O343" s="34"/>
      <c r="P343" s="34" t="str">
        <f aca="false">IF(OR($D343="",$M343=""),"",IF(IFERROR(INDEX(Settings!$C$11:$C$19,MATCH($L343,Settings!$B$11:$B$19,0)),"Yes")="No","",MAX($M343,$O343)+Settings!$C$6))</f>
        <v/>
      </c>
      <c r="Q343" s="36" t="str">
        <f aca="true">IF($D343="","",IF(IFERROR(INDEX(Settings!$C$11:$C$19,MATCH($L343,Settings!$B$11:$B$19,0)),"Yes")="No","",IF($M343="",IF($N343="","",$N343-TODAY()),IF($P343="","",$P343-TODAY()))))</f>
        <v/>
      </c>
      <c r="R343" s="37" t="str">
        <f aca="true">IF($D343="","",IF(IFERROR(INDEX(Settings!$C$11:$C$19,MATCH($L343,Settings!$B$11:$B$19,0)),"Yes")="No","CLOSED",IF($M343="",IF($N343="","ON TRACK",IF($N343&lt;TODAY(),"OVERDUE",IF($N343-TODAY()&lt;=Settings!$C$5,"DUE SOON","ON TRACK"))),IF($P343&lt;=TODAY(),"FOLLOW-UP DUE","ON TRACK"))))</f>
        <v/>
      </c>
      <c r="S343" s="35"/>
      <c r="T343" s="35"/>
      <c r="U343" s="38"/>
      <c r="V343" s="34"/>
      <c r="W343" s="35" t="str">
        <f aca="false">IF(OR($R343="OVERDUE",$R343="DUE SOON",$R343="FOLLOW-UP DUE"),MAX(W$3:W342)+1,"")</f>
        <v/>
      </c>
    </row>
    <row r="344" customFormat="false" ht="15" hidden="false" customHeight="false" outlineLevel="0" collapsed="false">
      <c r="A344" s="33" t="str">
        <f aca="false">IF($D344="","","JOB-"&amp;TEXT(ROW()-3,"000"))</f>
        <v/>
      </c>
      <c r="B344" s="34"/>
      <c r="C344" s="35"/>
      <c r="D344" s="35"/>
      <c r="E344" s="35"/>
      <c r="F344" s="35"/>
      <c r="G344" s="33"/>
      <c r="H344" s="35"/>
      <c r="I344" s="35"/>
      <c r="J344" s="35"/>
      <c r="K344" s="33"/>
      <c r="L344" s="33"/>
      <c r="M344" s="34"/>
      <c r="N344" s="34"/>
      <c r="O344" s="34"/>
      <c r="P344" s="34" t="str">
        <f aca="false">IF(OR($D344="",$M344=""),"",IF(IFERROR(INDEX(Settings!$C$11:$C$19,MATCH($L344,Settings!$B$11:$B$19,0)),"Yes")="No","",MAX($M344,$O344)+Settings!$C$6))</f>
        <v/>
      </c>
      <c r="Q344" s="36" t="str">
        <f aca="true">IF($D344="","",IF(IFERROR(INDEX(Settings!$C$11:$C$19,MATCH($L344,Settings!$B$11:$B$19,0)),"Yes")="No","",IF($M344="",IF($N344="","",$N344-TODAY()),IF($P344="","",$P344-TODAY()))))</f>
        <v/>
      </c>
      <c r="R344" s="37" t="str">
        <f aca="true">IF($D344="","",IF(IFERROR(INDEX(Settings!$C$11:$C$19,MATCH($L344,Settings!$B$11:$B$19,0)),"Yes")="No","CLOSED",IF($M344="",IF($N344="","ON TRACK",IF($N344&lt;TODAY(),"OVERDUE",IF($N344-TODAY()&lt;=Settings!$C$5,"DUE SOON","ON TRACK"))),IF($P344&lt;=TODAY(),"FOLLOW-UP DUE","ON TRACK"))))</f>
        <v/>
      </c>
      <c r="S344" s="35"/>
      <c r="T344" s="35"/>
      <c r="U344" s="38"/>
      <c r="V344" s="34"/>
      <c r="W344" s="35" t="str">
        <f aca="false">IF(OR($R344="OVERDUE",$R344="DUE SOON",$R344="FOLLOW-UP DUE"),MAX(W$3:W343)+1,"")</f>
        <v/>
      </c>
    </row>
    <row r="345" customFormat="false" ht="15" hidden="false" customHeight="false" outlineLevel="0" collapsed="false">
      <c r="A345" s="33" t="str">
        <f aca="false">IF($D345="","","JOB-"&amp;TEXT(ROW()-3,"000"))</f>
        <v/>
      </c>
      <c r="B345" s="34"/>
      <c r="C345" s="35"/>
      <c r="D345" s="35"/>
      <c r="E345" s="35"/>
      <c r="F345" s="35"/>
      <c r="G345" s="33"/>
      <c r="H345" s="35"/>
      <c r="I345" s="35"/>
      <c r="J345" s="35"/>
      <c r="K345" s="33"/>
      <c r="L345" s="33"/>
      <c r="M345" s="34"/>
      <c r="N345" s="34"/>
      <c r="O345" s="34"/>
      <c r="P345" s="34" t="str">
        <f aca="false">IF(OR($D345="",$M345=""),"",IF(IFERROR(INDEX(Settings!$C$11:$C$19,MATCH($L345,Settings!$B$11:$B$19,0)),"Yes")="No","",MAX($M345,$O345)+Settings!$C$6))</f>
        <v/>
      </c>
      <c r="Q345" s="36" t="str">
        <f aca="true">IF($D345="","",IF(IFERROR(INDEX(Settings!$C$11:$C$19,MATCH($L345,Settings!$B$11:$B$19,0)),"Yes")="No","",IF($M345="",IF($N345="","",$N345-TODAY()),IF($P345="","",$P345-TODAY()))))</f>
        <v/>
      </c>
      <c r="R345" s="37" t="str">
        <f aca="true">IF($D345="","",IF(IFERROR(INDEX(Settings!$C$11:$C$19,MATCH($L345,Settings!$B$11:$B$19,0)),"Yes")="No","CLOSED",IF($M345="",IF($N345="","ON TRACK",IF($N345&lt;TODAY(),"OVERDUE",IF($N345-TODAY()&lt;=Settings!$C$5,"DUE SOON","ON TRACK"))),IF($P345&lt;=TODAY(),"FOLLOW-UP DUE","ON TRACK"))))</f>
        <v/>
      </c>
      <c r="S345" s="35"/>
      <c r="T345" s="35"/>
      <c r="U345" s="38"/>
      <c r="V345" s="34"/>
      <c r="W345" s="35" t="str">
        <f aca="false">IF(OR($R345="OVERDUE",$R345="DUE SOON",$R345="FOLLOW-UP DUE"),MAX(W$3:W344)+1,"")</f>
        <v/>
      </c>
    </row>
    <row r="346" customFormat="false" ht="15" hidden="false" customHeight="false" outlineLevel="0" collapsed="false">
      <c r="A346" s="33" t="str">
        <f aca="false">IF($D346="","","JOB-"&amp;TEXT(ROW()-3,"000"))</f>
        <v/>
      </c>
      <c r="B346" s="34"/>
      <c r="C346" s="35"/>
      <c r="D346" s="35"/>
      <c r="E346" s="35"/>
      <c r="F346" s="35"/>
      <c r="G346" s="33"/>
      <c r="H346" s="35"/>
      <c r="I346" s="35"/>
      <c r="J346" s="35"/>
      <c r="K346" s="33"/>
      <c r="L346" s="33"/>
      <c r="M346" s="34"/>
      <c r="N346" s="34"/>
      <c r="O346" s="34"/>
      <c r="P346" s="34" t="str">
        <f aca="false">IF(OR($D346="",$M346=""),"",IF(IFERROR(INDEX(Settings!$C$11:$C$19,MATCH($L346,Settings!$B$11:$B$19,0)),"Yes")="No","",MAX($M346,$O346)+Settings!$C$6))</f>
        <v/>
      </c>
      <c r="Q346" s="36" t="str">
        <f aca="true">IF($D346="","",IF(IFERROR(INDEX(Settings!$C$11:$C$19,MATCH($L346,Settings!$B$11:$B$19,0)),"Yes")="No","",IF($M346="",IF($N346="","",$N346-TODAY()),IF($P346="","",$P346-TODAY()))))</f>
        <v/>
      </c>
      <c r="R346" s="37" t="str">
        <f aca="true">IF($D346="","",IF(IFERROR(INDEX(Settings!$C$11:$C$19,MATCH($L346,Settings!$B$11:$B$19,0)),"Yes")="No","CLOSED",IF($M346="",IF($N346="","ON TRACK",IF($N346&lt;TODAY(),"OVERDUE",IF($N346-TODAY()&lt;=Settings!$C$5,"DUE SOON","ON TRACK"))),IF($P346&lt;=TODAY(),"FOLLOW-UP DUE","ON TRACK"))))</f>
        <v/>
      </c>
      <c r="S346" s="35"/>
      <c r="T346" s="35"/>
      <c r="U346" s="38"/>
      <c r="V346" s="34"/>
      <c r="W346" s="35" t="str">
        <f aca="false">IF(OR($R346="OVERDUE",$R346="DUE SOON",$R346="FOLLOW-UP DUE"),MAX(W$3:W345)+1,"")</f>
        <v/>
      </c>
    </row>
    <row r="347" customFormat="false" ht="15" hidden="false" customHeight="false" outlineLevel="0" collapsed="false">
      <c r="A347" s="33" t="str">
        <f aca="false">IF($D347="","","JOB-"&amp;TEXT(ROW()-3,"000"))</f>
        <v/>
      </c>
      <c r="B347" s="34"/>
      <c r="C347" s="35"/>
      <c r="D347" s="35"/>
      <c r="E347" s="35"/>
      <c r="F347" s="35"/>
      <c r="G347" s="33"/>
      <c r="H347" s="35"/>
      <c r="I347" s="35"/>
      <c r="J347" s="35"/>
      <c r="K347" s="33"/>
      <c r="L347" s="33"/>
      <c r="M347" s="34"/>
      <c r="N347" s="34"/>
      <c r="O347" s="34"/>
      <c r="P347" s="34" t="str">
        <f aca="false">IF(OR($D347="",$M347=""),"",IF(IFERROR(INDEX(Settings!$C$11:$C$19,MATCH($L347,Settings!$B$11:$B$19,0)),"Yes")="No","",MAX($M347,$O347)+Settings!$C$6))</f>
        <v/>
      </c>
      <c r="Q347" s="36" t="str">
        <f aca="true">IF($D347="","",IF(IFERROR(INDEX(Settings!$C$11:$C$19,MATCH($L347,Settings!$B$11:$B$19,0)),"Yes")="No","",IF($M347="",IF($N347="","",$N347-TODAY()),IF($P347="","",$P347-TODAY()))))</f>
        <v/>
      </c>
      <c r="R347" s="37" t="str">
        <f aca="true">IF($D347="","",IF(IFERROR(INDEX(Settings!$C$11:$C$19,MATCH($L347,Settings!$B$11:$B$19,0)),"Yes")="No","CLOSED",IF($M347="",IF($N347="","ON TRACK",IF($N347&lt;TODAY(),"OVERDUE",IF($N347-TODAY()&lt;=Settings!$C$5,"DUE SOON","ON TRACK"))),IF($P347&lt;=TODAY(),"FOLLOW-UP DUE","ON TRACK"))))</f>
        <v/>
      </c>
      <c r="S347" s="35"/>
      <c r="T347" s="35"/>
      <c r="U347" s="38"/>
      <c r="V347" s="34"/>
      <c r="W347" s="35" t="str">
        <f aca="false">IF(OR($R347="OVERDUE",$R347="DUE SOON",$R347="FOLLOW-UP DUE"),MAX(W$3:W346)+1,"")</f>
        <v/>
      </c>
    </row>
    <row r="348" customFormat="false" ht="15" hidden="false" customHeight="false" outlineLevel="0" collapsed="false">
      <c r="A348" s="33" t="str">
        <f aca="false">IF($D348="","","JOB-"&amp;TEXT(ROW()-3,"000"))</f>
        <v/>
      </c>
      <c r="B348" s="34"/>
      <c r="C348" s="35"/>
      <c r="D348" s="35"/>
      <c r="E348" s="35"/>
      <c r="F348" s="35"/>
      <c r="G348" s="33"/>
      <c r="H348" s="35"/>
      <c r="I348" s="35"/>
      <c r="J348" s="35"/>
      <c r="K348" s="33"/>
      <c r="L348" s="33"/>
      <c r="M348" s="34"/>
      <c r="N348" s="34"/>
      <c r="O348" s="34"/>
      <c r="P348" s="34" t="str">
        <f aca="false">IF(OR($D348="",$M348=""),"",IF(IFERROR(INDEX(Settings!$C$11:$C$19,MATCH($L348,Settings!$B$11:$B$19,0)),"Yes")="No","",MAX($M348,$O348)+Settings!$C$6))</f>
        <v/>
      </c>
      <c r="Q348" s="36" t="str">
        <f aca="true">IF($D348="","",IF(IFERROR(INDEX(Settings!$C$11:$C$19,MATCH($L348,Settings!$B$11:$B$19,0)),"Yes")="No","",IF($M348="",IF($N348="","",$N348-TODAY()),IF($P348="","",$P348-TODAY()))))</f>
        <v/>
      </c>
      <c r="R348" s="37" t="str">
        <f aca="true">IF($D348="","",IF(IFERROR(INDEX(Settings!$C$11:$C$19,MATCH($L348,Settings!$B$11:$B$19,0)),"Yes")="No","CLOSED",IF($M348="",IF($N348="","ON TRACK",IF($N348&lt;TODAY(),"OVERDUE",IF($N348-TODAY()&lt;=Settings!$C$5,"DUE SOON","ON TRACK"))),IF($P348&lt;=TODAY(),"FOLLOW-UP DUE","ON TRACK"))))</f>
        <v/>
      </c>
      <c r="S348" s="35"/>
      <c r="T348" s="35"/>
      <c r="U348" s="38"/>
      <c r="V348" s="34"/>
      <c r="W348" s="35" t="str">
        <f aca="false">IF(OR($R348="OVERDUE",$R348="DUE SOON",$R348="FOLLOW-UP DUE"),MAX(W$3:W347)+1,"")</f>
        <v/>
      </c>
    </row>
    <row r="349" customFormat="false" ht="15" hidden="false" customHeight="false" outlineLevel="0" collapsed="false">
      <c r="A349" s="33" t="str">
        <f aca="false">IF($D349="","","JOB-"&amp;TEXT(ROW()-3,"000"))</f>
        <v/>
      </c>
      <c r="B349" s="34"/>
      <c r="C349" s="35"/>
      <c r="D349" s="35"/>
      <c r="E349" s="35"/>
      <c r="F349" s="35"/>
      <c r="G349" s="33"/>
      <c r="H349" s="35"/>
      <c r="I349" s="35"/>
      <c r="J349" s="35"/>
      <c r="K349" s="33"/>
      <c r="L349" s="33"/>
      <c r="M349" s="34"/>
      <c r="N349" s="34"/>
      <c r="O349" s="34"/>
      <c r="P349" s="34" t="str">
        <f aca="false">IF(OR($D349="",$M349=""),"",IF(IFERROR(INDEX(Settings!$C$11:$C$19,MATCH($L349,Settings!$B$11:$B$19,0)),"Yes")="No","",MAX($M349,$O349)+Settings!$C$6))</f>
        <v/>
      </c>
      <c r="Q349" s="36" t="str">
        <f aca="true">IF($D349="","",IF(IFERROR(INDEX(Settings!$C$11:$C$19,MATCH($L349,Settings!$B$11:$B$19,0)),"Yes")="No","",IF($M349="",IF($N349="","",$N349-TODAY()),IF($P349="","",$P349-TODAY()))))</f>
        <v/>
      </c>
      <c r="R349" s="37" t="str">
        <f aca="true">IF($D349="","",IF(IFERROR(INDEX(Settings!$C$11:$C$19,MATCH($L349,Settings!$B$11:$B$19,0)),"Yes")="No","CLOSED",IF($M349="",IF($N349="","ON TRACK",IF($N349&lt;TODAY(),"OVERDUE",IF($N349-TODAY()&lt;=Settings!$C$5,"DUE SOON","ON TRACK"))),IF($P349&lt;=TODAY(),"FOLLOW-UP DUE","ON TRACK"))))</f>
        <v/>
      </c>
      <c r="S349" s="35"/>
      <c r="T349" s="35"/>
      <c r="U349" s="38"/>
      <c r="V349" s="34"/>
      <c r="W349" s="35" t="str">
        <f aca="false">IF(OR($R349="OVERDUE",$R349="DUE SOON",$R349="FOLLOW-UP DUE"),MAX(W$3:W348)+1,"")</f>
        <v/>
      </c>
    </row>
    <row r="350" customFormat="false" ht="15" hidden="false" customHeight="false" outlineLevel="0" collapsed="false">
      <c r="A350" s="33" t="str">
        <f aca="false">IF($D350="","","JOB-"&amp;TEXT(ROW()-3,"000"))</f>
        <v/>
      </c>
      <c r="B350" s="34"/>
      <c r="C350" s="35"/>
      <c r="D350" s="35"/>
      <c r="E350" s="35"/>
      <c r="F350" s="35"/>
      <c r="G350" s="33"/>
      <c r="H350" s="35"/>
      <c r="I350" s="35"/>
      <c r="J350" s="35"/>
      <c r="K350" s="33"/>
      <c r="L350" s="33"/>
      <c r="M350" s="34"/>
      <c r="N350" s="34"/>
      <c r="O350" s="34"/>
      <c r="P350" s="34" t="str">
        <f aca="false">IF(OR($D350="",$M350=""),"",IF(IFERROR(INDEX(Settings!$C$11:$C$19,MATCH($L350,Settings!$B$11:$B$19,0)),"Yes")="No","",MAX($M350,$O350)+Settings!$C$6))</f>
        <v/>
      </c>
      <c r="Q350" s="36" t="str">
        <f aca="true">IF($D350="","",IF(IFERROR(INDEX(Settings!$C$11:$C$19,MATCH($L350,Settings!$B$11:$B$19,0)),"Yes")="No","",IF($M350="",IF($N350="","",$N350-TODAY()),IF($P350="","",$P350-TODAY()))))</f>
        <v/>
      </c>
      <c r="R350" s="37" t="str">
        <f aca="true">IF($D350="","",IF(IFERROR(INDEX(Settings!$C$11:$C$19,MATCH($L350,Settings!$B$11:$B$19,0)),"Yes")="No","CLOSED",IF($M350="",IF($N350="","ON TRACK",IF($N350&lt;TODAY(),"OVERDUE",IF($N350-TODAY()&lt;=Settings!$C$5,"DUE SOON","ON TRACK"))),IF($P350&lt;=TODAY(),"FOLLOW-UP DUE","ON TRACK"))))</f>
        <v/>
      </c>
      <c r="S350" s="35"/>
      <c r="T350" s="35"/>
      <c r="U350" s="38"/>
      <c r="V350" s="34"/>
      <c r="W350" s="35" t="str">
        <f aca="false">IF(OR($R350="OVERDUE",$R350="DUE SOON",$R350="FOLLOW-UP DUE"),MAX(W$3:W349)+1,"")</f>
        <v/>
      </c>
    </row>
    <row r="351" customFormat="false" ht="15" hidden="false" customHeight="false" outlineLevel="0" collapsed="false">
      <c r="A351" s="33" t="str">
        <f aca="false">IF($D351="","","JOB-"&amp;TEXT(ROW()-3,"000"))</f>
        <v/>
      </c>
      <c r="B351" s="34"/>
      <c r="C351" s="35"/>
      <c r="D351" s="35"/>
      <c r="E351" s="35"/>
      <c r="F351" s="35"/>
      <c r="G351" s="33"/>
      <c r="H351" s="35"/>
      <c r="I351" s="35"/>
      <c r="J351" s="35"/>
      <c r="K351" s="33"/>
      <c r="L351" s="33"/>
      <c r="M351" s="34"/>
      <c r="N351" s="34"/>
      <c r="O351" s="34"/>
      <c r="P351" s="34" t="str">
        <f aca="false">IF(OR($D351="",$M351=""),"",IF(IFERROR(INDEX(Settings!$C$11:$C$19,MATCH($L351,Settings!$B$11:$B$19,0)),"Yes")="No","",MAX($M351,$O351)+Settings!$C$6))</f>
        <v/>
      </c>
      <c r="Q351" s="36" t="str">
        <f aca="true">IF($D351="","",IF(IFERROR(INDEX(Settings!$C$11:$C$19,MATCH($L351,Settings!$B$11:$B$19,0)),"Yes")="No","",IF($M351="",IF($N351="","",$N351-TODAY()),IF($P351="","",$P351-TODAY()))))</f>
        <v/>
      </c>
      <c r="R351" s="37" t="str">
        <f aca="true">IF($D351="","",IF(IFERROR(INDEX(Settings!$C$11:$C$19,MATCH($L351,Settings!$B$11:$B$19,0)),"Yes")="No","CLOSED",IF($M351="",IF($N351="","ON TRACK",IF($N351&lt;TODAY(),"OVERDUE",IF($N351-TODAY()&lt;=Settings!$C$5,"DUE SOON","ON TRACK"))),IF($P351&lt;=TODAY(),"FOLLOW-UP DUE","ON TRACK"))))</f>
        <v/>
      </c>
      <c r="S351" s="35"/>
      <c r="T351" s="35"/>
      <c r="U351" s="38"/>
      <c r="V351" s="34"/>
      <c r="W351" s="35" t="str">
        <f aca="false">IF(OR($R351="OVERDUE",$R351="DUE SOON",$R351="FOLLOW-UP DUE"),MAX(W$3:W350)+1,"")</f>
        <v/>
      </c>
    </row>
    <row r="352" customFormat="false" ht="15" hidden="false" customHeight="false" outlineLevel="0" collapsed="false">
      <c r="A352" s="33" t="str">
        <f aca="false">IF($D352="","","JOB-"&amp;TEXT(ROW()-3,"000"))</f>
        <v/>
      </c>
      <c r="B352" s="34"/>
      <c r="C352" s="35"/>
      <c r="D352" s="35"/>
      <c r="E352" s="35"/>
      <c r="F352" s="35"/>
      <c r="G352" s="33"/>
      <c r="H352" s="35"/>
      <c r="I352" s="35"/>
      <c r="J352" s="35"/>
      <c r="K352" s="33"/>
      <c r="L352" s="33"/>
      <c r="M352" s="34"/>
      <c r="N352" s="34"/>
      <c r="O352" s="34"/>
      <c r="P352" s="34" t="str">
        <f aca="false">IF(OR($D352="",$M352=""),"",IF(IFERROR(INDEX(Settings!$C$11:$C$19,MATCH($L352,Settings!$B$11:$B$19,0)),"Yes")="No","",MAX($M352,$O352)+Settings!$C$6))</f>
        <v/>
      </c>
      <c r="Q352" s="36" t="str">
        <f aca="true">IF($D352="","",IF(IFERROR(INDEX(Settings!$C$11:$C$19,MATCH($L352,Settings!$B$11:$B$19,0)),"Yes")="No","",IF($M352="",IF($N352="","",$N352-TODAY()),IF($P352="","",$P352-TODAY()))))</f>
        <v/>
      </c>
      <c r="R352" s="37" t="str">
        <f aca="true">IF($D352="","",IF(IFERROR(INDEX(Settings!$C$11:$C$19,MATCH($L352,Settings!$B$11:$B$19,0)),"Yes")="No","CLOSED",IF($M352="",IF($N352="","ON TRACK",IF($N352&lt;TODAY(),"OVERDUE",IF($N352-TODAY()&lt;=Settings!$C$5,"DUE SOON","ON TRACK"))),IF($P352&lt;=TODAY(),"FOLLOW-UP DUE","ON TRACK"))))</f>
        <v/>
      </c>
      <c r="S352" s="35"/>
      <c r="T352" s="35"/>
      <c r="U352" s="38"/>
      <c r="V352" s="34"/>
      <c r="W352" s="35" t="str">
        <f aca="false">IF(OR($R352="OVERDUE",$R352="DUE SOON",$R352="FOLLOW-UP DUE"),MAX(W$3:W351)+1,"")</f>
        <v/>
      </c>
    </row>
    <row r="353" customFormat="false" ht="15" hidden="false" customHeight="false" outlineLevel="0" collapsed="false">
      <c r="A353" s="33" t="str">
        <f aca="false">IF($D353="","","JOB-"&amp;TEXT(ROW()-3,"000"))</f>
        <v/>
      </c>
      <c r="B353" s="34"/>
      <c r="C353" s="35"/>
      <c r="D353" s="35"/>
      <c r="E353" s="35"/>
      <c r="F353" s="35"/>
      <c r="G353" s="33"/>
      <c r="H353" s="35"/>
      <c r="I353" s="35"/>
      <c r="J353" s="35"/>
      <c r="K353" s="33"/>
      <c r="L353" s="33"/>
      <c r="M353" s="34"/>
      <c r="N353" s="34"/>
      <c r="O353" s="34"/>
      <c r="P353" s="34" t="str">
        <f aca="false">IF(OR($D353="",$M353=""),"",IF(IFERROR(INDEX(Settings!$C$11:$C$19,MATCH($L353,Settings!$B$11:$B$19,0)),"Yes")="No","",MAX($M353,$O353)+Settings!$C$6))</f>
        <v/>
      </c>
      <c r="Q353" s="36" t="str">
        <f aca="true">IF($D353="","",IF(IFERROR(INDEX(Settings!$C$11:$C$19,MATCH($L353,Settings!$B$11:$B$19,0)),"Yes")="No","",IF($M353="",IF($N353="","",$N353-TODAY()),IF($P353="","",$P353-TODAY()))))</f>
        <v/>
      </c>
      <c r="R353" s="37" t="str">
        <f aca="true">IF($D353="","",IF(IFERROR(INDEX(Settings!$C$11:$C$19,MATCH($L353,Settings!$B$11:$B$19,0)),"Yes")="No","CLOSED",IF($M353="",IF($N353="","ON TRACK",IF($N353&lt;TODAY(),"OVERDUE",IF($N353-TODAY()&lt;=Settings!$C$5,"DUE SOON","ON TRACK"))),IF($P353&lt;=TODAY(),"FOLLOW-UP DUE","ON TRACK"))))</f>
        <v/>
      </c>
      <c r="S353" s="35"/>
      <c r="T353" s="35"/>
      <c r="U353" s="38"/>
      <c r="V353" s="34"/>
      <c r="W353" s="35" t="str">
        <f aca="false">IF(OR($R353="OVERDUE",$R353="DUE SOON",$R353="FOLLOW-UP DUE"),MAX(W$3:W352)+1,"")</f>
        <v/>
      </c>
    </row>
    <row r="354" customFormat="false" ht="15" hidden="false" customHeight="false" outlineLevel="0" collapsed="false">
      <c r="A354" s="33" t="str">
        <f aca="false">IF($D354="","","JOB-"&amp;TEXT(ROW()-3,"000"))</f>
        <v/>
      </c>
      <c r="B354" s="34"/>
      <c r="C354" s="35"/>
      <c r="D354" s="35"/>
      <c r="E354" s="35"/>
      <c r="F354" s="35"/>
      <c r="G354" s="33"/>
      <c r="H354" s="35"/>
      <c r="I354" s="35"/>
      <c r="J354" s="35"/>
      <c r="K354" s="33"/>
      <c r="L354" s="33"/>
      <c r="M354" s="34"/>
      <c r="N354" s="34"/>
      <c r="O354" s="34"/>
      <c r="P354" s="34" t="str">
        <f aca="false">IF(OR($D354="",$M354=""),"",IF(IFERROR(INDEX(Settings!$C$11:$C$19,MATCH($L354,Settings!$B$11:$B$19,0)),"Yes")="No","",MAX($M354,$O354)+Settings!$C$6))</f>
        <v/>
      </c>
      <c r="Q354" s="36" t="str">
        <f aca="true">IF($D354="","",IF(IFERROR(INDEX(Settings!$C$11:$C$19,MATCH($L354,Settings!$B$11:$B$19,0)),"Yes")="No","",IF($M354="",IF($N354="","",$N354-TODAY()),IF($P354="","",$P354-TODAY()))))</f>
        <v/>
      </c>
      <c r="R354" s="37" t="str">
        <f aca="true">IF($D354="","",IF(IFERROR(INDEX(Settings!$C$11:$C$19,MATCH($L354,Settings!$B$11:$B$19,0)),"Yes")="No","CLOSED",IF($M354="",IF($N354="","ON TRACK",IF($N354&lt;TODAY(),"OVERDUE",IF($N354-TODAY()&lt;=Settings!$C$5,"DUE SOON","ON TRACK"))),IF($P354&lt;=TODAY(),"FOLLOW-UP DUE","ON TRACK"))))</f>
        <v/>
      </c>
      <c r="S354" s="35"/>
      <c r="T354" s="35"/>
      <c r="U354" s="38"/>
      <c r="V354" s="34"/>
      <c r="W354" s="35" t="str">
        <f aca="false">IF(OR($R354="OVERDUE",$R354="DUE SOON",$R354="FOLLOW-UP DUE"),MAX(W$3:W353)+1,"")</f>
        <v/>
      </c>
    </row>
    <row r="355" customFormat="false" ht="15" hidden="false" customHeight="false" outlineLevel="0" collapsed="false">
      <c r="A355" s="33" t="str">
        <f aca="false">IF($D355="","","JOB-"&amp;TEXT(ROW()-3,"000"))</f>
        <v/>
      </c>
      <c r="B355" s="34"/>
      <c r="C355" s="35"/>
      <c r="D355" s="35"/>
      <c r="E355" s="35"/>
      <c r="F355" s="35"/>
      <c r="G355" s="33"/>
      <c r="H355" s="35"/>
      <c r="I355" s="35"/>
      <c r="J355" s="35"/>
      <c r="K355" s="33"/>
      <c r="L355" s="33"/>
      <c r="M355" s="34"/>
      <c r="N355" s="34"/>
      <c r="O355" s="34"/>
      <c r="P355" s="34" t="str">
        <f aca="false">IF(OR($D355="",$M355=""),"",IF(IFERROR(INDEX(Settings!$C$11:$C$19,MATCH($L355,Settings!$B$11:$B$19,0)),"Yes")="No","",MAX($M355,$O355)+Settings!$C$6))</f>
        <v/>
      </c>
      <c r="Q355" s="36" t="str">
        <f aca="true">IF($D355="","",IF(IFERROR(INDEX(Settings!$C$11:$C$19,MATCH($L355,Settings!$B$11:$B$19,0)),"Yes")="No","",IF($M355="",IF($N355="","",$N355-TODAY()),IF($P355="","",$P355-TODAY()))))</f>
        <v/>
      </c>
      <c r="R355" s="37" t="str">
        <f aca="true">IF($D355="","",IF(IFERROR(INDEX(Settings!$C$11:$C$19,MATCH($L355,Settings!$B$11:$B$19,0)),"Yes")="No","CLOSED",IF($M355="",IF($N355="","ON TRACK",IF($N355&lt;TODAY(),"OVERDUE",IF($N355-TODAY()&lt;=Settings!$C$5,"DUE SOON","ON TRACK"))),IF($P355&lt;=TODAY(),"FOLLOW-UP DUE","ON TRACK"))))</f>
        <v/>
      </c>
      <c r="S355" s="35"/>
      <c r="T355" s="35"/>
      <c r="U355" s="38"/>
      <c r="V355" s="34"/>
      <c r="W355" s="35" t="str">
        <f aca="false">IF(OR($R355="OVERDUE",$R355="DUE SOON",$R355="FOLLOW-UP DUE"),MAX(W$3:W354)+1,"")</f>
        <v/>
      </c>
    </row>
    <row r="356" customFormat="false" ht="15" hidden="false" customHeight="false" outlineLevel="0" collapsed="false">
      <c r="A356" s="33" t="str">
        <f aca="false">IF($D356="","","JOB-"&amp;TEXT(ROW()-3,"000"))</f>
        <v/>
      </c>
      <c r="B356" s="34"/>
      <c r="C356" s="35"/>
      <c r="D356" s="35"/>
      <c r="E356" s="35"/>
      <c r="F356" s="35"/>
      <c r="G356" s="33"/>
      <c r="H356" s="35"/>
      <c r="I356" s="35"/>
      <c r="J356" s="35"/>
      <c r="K356" s="33"/>
      <c r="L356" s="33"/>
      <c r="M356" s="34"/>
      <c r="N356" s="34"/>
      <c r="O356" s="34"/>
      <c r="P356" s="34" t="str">
        <f aca="false">IF(OR($D356="",$M356=""),"",IF(IFERROR(INDEX(Settings!$C$11:$C$19,MATCH($L356,Settings!$B$11:$B$19,0)),"Yes")="No","",MAX($M356,$O356)+Settings!$C$6))</f>
        <v/>
      </c>
      <c r="Q356" s="36" t="str">
        <f aca="true">IF($D356="","",IF(IFERROR(INDEX(Settings!$C$11:$C$19,MATCH($L356,Settings!$B$11:$B$19,0)),"Yes")="No","",IF($M356="",IF($N356="","",$N356-TODAY()),IF($P356="","",$P356-TODAY()))))</f>
        <v/>
      </c>
      <c r="R356" s="37" t="str">
        <f aca="true">IF($D356="","",IF(IFERROR(INDEX(Settings!$C$11:$C$19,MATCH($L356,Settings!$B$11:$B$19,0)),"Yes")="No","CLOSED",IF($M356="",IF($N356="","ON TRACK",IF($N356&lt;TODAY(),"OVERDUE",IF($N356-TODAY()&lt;=Settings!$C$5,"DUE SOON","ON TRACK"))),IF($P356&lt;=TODAY(),"FOLLOW-UP DUE","ON TRACK"))))</f>
        <v/>
      </c>
      <c r="S356" s="35"/>
      <c r="T356" s="35"/>
      <c r="U356" s="38"/>
      <c r="V356" s="34"/>
      <c r="W356" s="35" t="str">
        <f aca="false">IF(OR($R356="OVERDUE",$R356="DUE SOON",$R356="FOLLOW-UP DUE"),MAX(W$3:W355)+1,"")</f>
        <v/>
      </c>
    </row>
    <row r="357" customFormat="false" ht="15" hidden="false" customHeight="false" outlineLevel="0" collapsed="false">
      <c r="A357" s="33" t="str">
        <f aca="false">IF($D357="","","JOB-"&amp;TEXT(ROW()-3,"000"))</f>
        <v/>
      </c>
      <c r="B357" s="34"/>
      <c r="C357" s="35"/>
      <c r="D357" s="35"/>
      <c r="E357" s="35"/>
      <c r="F357" s="35"/>
      <c r="G357" s="33"/>
      <c r="H357" s="35"/>
      <c r="I357" s="35"/>
      <c r="J357" s="35"/>
      <c r="K357" s="33"/>
      <c r="L357" s="33"/>
      <c r="M357" s="34"/>
      <c r="N357" s="34"/>
      <c r="O357" s="34"/>
      <c r="P357" s="34" t="str">
        <f aca="false">IF(OR($D357="",$M357=""),"",IF(IFERROR(INDEX(Settings!$C$11:$C$19,MATCH($L357,Settings!$B$11:$B$19,0)),"Yes")="No","",MAX($M357,$O357)+Settings!$C$6))</f>
        <v/>
      </c>
      <c r="Q357" s="36" t="str">
        <f aca="true">IF($D357="","",IF(IFERROR(INDEX(Settings!$C$11:$C$19,MATCH($L357,Settings!$B$11:$B$19,0)),"Yes")="No","",IF($M357="",IF($N357="","",$N357-TODAY()),IF($P357="","",$P357-TODAY()))))</f>
        <v/>
      </c>
      <c r="R357" s="37" t="str">
        <f aca="true">IF($D357="","",IF(IFERROR(INDEX(Settings!$C$11:$C$19,MATCH($L357,Settings!$B$11:$B$19,0)),"Yes")="No","CLOSED",IF($M357="",IF($N357="","ON TRACK",IF($N357&lt;TODAY(),"OVERDUE",IF($N357-TODAY()&lt;=Settings!$C$5,"DUE SOON","ON TRACK"))),IF($P357&lt;=TODAY(),"FOLLOW-UP DUE","ON TRACK"))))</f>
        <v/>
      </c>
      <c r="S357" s="35"/>
      <c r="T357" s="35"/>
      <c r="U357" s="38"/>
      <c r="V357" s="34"/>
      <c r="W357" s="35" t="str">
        <f aca="false">IF(OR($R357="OVERDUE",$R357="DUE SOON",$R357="FOLLOW-UP DUE"),MAX(W$3:W356)+1,"")</f>
        <v/>
      </c>
    </row>
    <row r="358" customFormat="false" ht="15" hidden="false" customHeight="false" outlineLevel="0" collapsed="false">
      <c r="A358" s="33" t="str">
        <f aca="false">IF($D358="","","JOB-"&amp;TEXT(ROW()-3,"000"))</f>
        <v/>
      </c>
      <c r="B358" s="34"/>
      <c r="C358" s="35"/>
      <c r="D358" s="35"/>
      <c r="E358" s="35"/>
      <c r="F358" s="35"/>
      <c r="G358" s="33"/>
      <c r="H358" s="35"/>
      <c r="I358" s="35"/>
      <c r="J358" s="35"/>
      <c r="K358" s="33"/>
      <c r="L358" s="33"/>
      <c r="M358" s="34"/>
      <c r="N358" s="34"/>
      <c r="O358" s="34"/>
      <c r="P358" s="34" t="str">
        <f aca="false">IF(OR($D358="",$M358=""),"",IF(IFERROR(INDEX(Settings!$C$11:$C$19,MATCH($L358,Settings!$B$11:$B$19,0)),"Yes")="No","",MAX($M358,$O358)+Settings!$C$6))</f>
        <v/>
      </c>
      <c r="Q358" s="36" t="str">
        <f aca="true">IF($D358="","",IF(IFERROR(INDEX(Settings!$C$11:$C$19,MATCH($L358,Settings!$B$11:$B$19,0)),"Yes")="No","",IF($M358="",IF($N358="","",$N358-TODAY()),IF($P358="","",$P358-TODAY()))))</f>
        <v/>
      </c>
      <c r="R358" s="37" t="str">
        <f aca="true">IF($D358="","",IF(IFERROR(INDEX(Settings!$C$11:$C$19,MATCH($L358,Settings!$B$11:$B$19,0)),"Yes")="No","CLOSED",IF($M358="",IF($N358="","ON TRACK",IF($N358&lt;TODAY(),"OVERDUE",IF($N358-TODAY()&lt;=Settings!$C$5,"DUE SOON","ON TRACK"))),IF($P358&lt;=TODAY(),"FOLLOW-UP DUE","ON TRACK"))))</f>
        <v/>
      </c>
      <c r="S358" s="35"/>
      <c r="T358" s="35"/>
      <c r="U358" s="38"/>
      <c r="V358" s="34"/>
      <c r="W358" s="35" t="str">
        <f aca="false">IF(OR($R358="OVERDUE",$R358="DUE SOON",$R358="FOLLOW-UP DUE"),MAX(W$3:W357)+1,"")</f>
        <v/>
      </c>
    </row>
    <row r="359" customFormat="false" ht="15" hidden="false" customHeight="false" outlineLevel="0" collapsed="false">
      <c r="A359" s="33" t="str">
        <f aca="false">IF($D359="","","JOB-"&amp;TEXT(ROW()-3,"000"))</f>
        <v/>
      </c>
      <c r="B359" s="34"/>
      <c r="C359" s="35"/>
      <c r="D359" s="35"/>
      <c r="E359" s="35"/>
      <c r="F359" s="35"/>
      <c r="G359" s="33"/>
      <c r="H359" s="35"/>
      <c r="I359" s="35"/>
      <c r="J359" s="35"/>
      <c r="K359" s="33"/>
      <c r="L359" s="33"/>
      <c r="M359" s="34"/>
      <c r="N359" s="34"/>
      <c r="O359" s="34"/>
      <c r="P359" s="34" t="str">
        <f aca="false">IF(OR($D359="",$M359=""),"",IF(IFERROR(INDEX(Settings!$C$11:$C$19,MATCH($L359,Settings!$B$11:$B$19,0)),"Yes")="No","",MAX($M359,$O359)+Settings!$C$6))</f>
        <v/>
      </c>
      <c r="Q359" s="36" t="str">
        <f aca="true">IF($D359="","",IF(IFERROR(INDEX(Settings!$C$11:$C$19,MATCH($L359,Settings!$B$11:$B$19,0)),"Yes")="No","",IF($M359="",IF($N359="","",$N359-TODAY()),IF($P359="","",$P359-TODAY()))))</f>
        <v/>
      </c>
      <c r="R359" s="37" t="str">
        <f aca="true">IF($D359="","",IF(IFERROR(INDEX(Settings!$C$11:$C$19,MATCH($L359,Settings!$B$11:$B$19,0)),"Yes")="No","CLOSED",IF($M359="",IF($N359="","ON TRACK",IF($N359&lt;TODAY(),"OVERDUE",IF($N359-TODAY()&lt;=Settings!$C$5,"DUE SOON","ON TRACK"))),IF($P359&lt;=TODAY(),"FOLLOW-UP DUE","ON TRACK"))))</f>
        <v/>
      </c>
      <c r="S359" s="35"/>
      <c r="T359" s="35"/>
      <c r="U359" s="38"/>
      <c r="V359" s="34"/>
      <c r="W359" s="35" t="str">
        <f aca="false">IF(OR($R359="OVERDUE",$R359="DUE SOON",$R359="FOLLOW-UP DUE"),MAX(W$3:W358)+1,"")</f>
        <v/>
      </c>
    </row>
    <row r="360" customFormat="false" ht="15" hidden="false" customHeight="false" outlineLevel="0" collapsed="false">
      <c r="A360" s="33" t="str">
        <f aca="false">IF($D360="","","JOB-"&amp;TEXT(ROW()-3,"000"))</f>
        <v/>
      </c>
      <c r="B360" s="34"/>
      <c r="C360" s="35"/>
      <c r="D360" s="35"/>
      <c r="E360" s="35"/>
      <c r="F360" s="35"/>
      <c r="G360" s="33"/>
      <c r="H360" s="35"/>
      <c r="I360" s="35"/>
      <c r="J360" s="35"/>
      <c r="K360" s="33"/>
      <c r="L360" s="33"/>
      <c r="M360" s="34"/>
      <c r="N360" s="34"/>
      <c r="O360" s="34"/>
      <c r="P360" s="34" t="str">
        <f aca="false">IF(OR($D360="",$M360=""),"",IF(IFERROR(INDEX(Settings!$C$11:$C$19,MATCH($L360,Settings!$B$11:$B$19,0)),"Yes")="No","",MAX($M360,$O360)+Settings!$C$6))</f>
        <v/>
      </c>
      <c r="Q360" s="36" t="str">
        <f aca="true">IF($D360="","",IF(IFERROR(INDEX(Settings!$C$11:$C$19,MATCH($L360,Settings!$B$11:$B$19,0)),"Yes")="No","",IF($M360="",IF($N360="","",$N360-TODAY()),IF($P360="","",$P360-TODAY()))))</f>
        <v/>
      </c>
      <c r="R360" s="37" t="str">
        <f aca="true">IF($D360="","",IF(IFERROR(INDEX(Settings!$C$11:$C$19,MATCH($L360,Settings!$B$11:$B$19,0)),"Yes")="No","CLOSED",IF($M360="",IF($N360="","ON TRACK",IF($N360&lt;TODAY(),"OVERDUE",IF($N360-TODAY()&lt;=Settings!$C$5,"DUE SOON","ON TRACK"))),IF($P360&lt;=TODAY(),"FOLLOW-UP DUE","ON TRACK"))))</f>
        <v/>
      </c>
      <c r="S360" s="35"/>
      <c r="T360" s="35"/>
      <c r="U360" s="38"/>
      <c r="V360" s="34"/>
      <c r="W360" s="35" t="str">
        <f aca="false">IF(OR($R360="OVERDUE",$R360="DUE SOON",$R360="FOLLOW-UP DUE"),MAX(W$3:W359)+1,"")</f>
        <v/>
      </c>
    </row>
    <row r="361" customFormat="false" ht="15" hidden="false" customHeight="false" outlineLevel="0" collapsed="false">
      <c r="A361" s="33" t="str">
        <f aca="false">IF($D361="","","JOB-"&amp;TEXT(ROW()-3,"000"))</f>
        <v/>
      </c>
      <c r="B361" s="34"/>
      <c r="C361" s="35"/>
      <c r="D361" s="35"/>
      <c r="E361" s="35"/>
      <c r="F361" s="35"/>
      <c r="G361" s="33"/>
      <c r="H361" s="35"/>
      <c r="I361" s="35"/>
      <c r="J361" s="35"/>
      <c r="K361" s="33"/>
      <c r="L361" s="33"/>
      <c r="M361" s="34"/>
      <c r="N361" s="34"/>
      <c r="O361" s="34"/>
      <c r="P361" s="34" t="str">
        <f aca="false">IF(OR($D361="",$M361=""),"",IF(IFERROR(INDEX(Settings!$C$11:$C$19,MATCH($L361,Settings!$B$11:$B$19,0)),"Yes")="No","",MAX($M361,$O361)+Settings!$C$6))</f>
        <v/>
      </c>
      <c r="Q361" s="36" t="str">
        <f aca="true">IF($D361="","",IF(IFERROR(INDEX(Settings!$C$11:$C$19,MATCH($L361,Settings!$B$11:$B$19,0)),"Yes")="No","",IF($M361="",IF($N361="","",$N361-TODAY()),IF($P361="","",$P361-TODAY()))))</f>
        <v/>
      </c>
      <c r="R361" s="37" t="str">
        <f aca="true">IF($D361="","",IF(IFERROR(INDEX(Settings!$C$11:$C$19,MATCH($L361,Settings!$B$11:$B$19,0)),"Yes")="No","CLOSED",IF($M361="",IF($N361="","ON TRACK",IF($N361&lt;TODAY(),"OVERDUE",IF($N361-TODAY()&lt;=Settings!$C$5,"DUE SOON","ON TRACK"))),IF($P361&lt;=TODAY(),"FOLLOW-UP DUE","ON TRACK"))))</f>
        <v/>
      </c>
      <c r="S361" s="35"/>
      <c r="T361" s="35"/>
      <c r="U361" s="38"/>
      <c r="V361" s="34"/>
      <c r="W361" s="35" t="str">
        <f aca="false">IF(OR($R361="OVERDUE",$R361="DUE SOON",$R361="FOLLOW-UP DUE"),MAX(W$3:W360)+1,"")</f>
        <v/>
      </c>
    </row>
    <row r="362" customFormat="false" ht="15" hidden="false" customHeight="false" outlineLevel="0" collapsed="false">
      <c r="A362" s="33" t="str">
        <f aca="false">IF($D362="","","JOB-"&amp;TEXT(ROW()-3,"000"))</f>
        <v/>
      </c>
      <c r="B362" s="34"/>
      <c r="C362" s="35"/>
      <c r="D362" s="35"/>
      <c r="E362" s="35"/>
      <c r="F362" s="35"/>
      <c r="G362" s="33"/>
      <c r="H362" s="35"/>
      <c r="I362" s="35"/>
      <c r="J362" s="35"/>
      <c r="K362" s="33"/>
      <c r="L362" s="33"/>
      <c r="M362" s="34"/>
      <c r="N362" s="34"/>
      <c r="O362" s="34"/>
      <c r="P362" s="34" t="str">
        <f aca="false">IF(OR($D362="",$M362=""),"",IF(IFERROR(INDEX(Settings!$C$11:$C$19,MATCH($L362,Settings!$B$11:$B$19,0)),"Yes")="No","",MAX($M362,$O362)+Settings!$C$6))</f>
        <v/>
      </c>
      <c r="Q362" s="36" t="str">
        <f aca="true">IF($D362="","",IF(IFERROR(INDEX(Settings!$C$11:$C$19,MATCH($L362,Settings!$B$11:$B$19,0)),"Yes")="No","",IF($M362="",IF($N362="","",$N362-TODAY()),IF($P362="","",$P362-TODAY()))))</f>
        <v/>
      </c>
      <c r="R362" s="37" t="str">
        <f aca="true">IF($D362="","",IF(IFERROR(INDEX(Settings!$C$11:$C$19,MATCH($L362,Settings!$B$11:$B$19,0)),"Yes")="No","CLOSED",IF($M362="",IF($N362="","ON TRACK",IF($N362&lt;TODAY(),"OVERDUE",IF($N362-TODAY()&lt;=Settings!$C$5,"DUE SOON","ON TRACK"))),IF($P362&lt;=TODAY(),"FOLLOW-UP DUE","ON TRACK"))))</f>
        <v/>
      </c>
      <c r="S362" s="35"/>
      <c r="T362" s="35"/>
      <c r="U362" s="38"/>
      <c r="V362" s="34"/>
      <c r="W362" s="35" t="str">
        <f aca="false">IF(OR($R362="OVERDUE",$R362="DUE SOON",$R362="FOLLOW-UP DUE"),MAX(W$3:W361)+1,"")</f>
        <v/>
      </c>
    </row>
    <row r="363" customFormat="false" ht="15" hidden="false" customHeight="false" outlineLevel="0" collapsed="false">
      <c r="A363" s="33" t="str">
        <f aca="false">IF($D363="","","JOB-"&amp;TEXT(ROW()-3,"000"))</f>
        <v/>
      </c>
      <c r="B363" s="34"/>
      <c r="C363" s="35"/>
      <c r="D363" s="35"/>
      <c r="E363" s="35"/>
      <c r="F363" s="35"/>
      <c r="G363" s="33"/>
      <c r="H363" s="35"/>
      <c r="I363" s="35"/>
      <c r="J363" s="35"/>
      <c r="K363" s="33"/>
      <c r="L363" s="33"/>
      <c r="M363" s="34"/>
      <c r="N363" s="34"/>
      <c r="O363" s="34"/>
      <c r="P363" s="34" t="str">
        <f aca="false">IF(OR($D363="",$M363=""),"",IF(IFERROR(INDEX(Settings!$C$11:$C$19,MATCH($L363,Settings!$B$11:$B$19,0)),"Yes")="No","",MAX($M363,$O363)+Settings!$C$6))</f>
        <v/>
      </c>
      <c r="Q363" s="36" t="str">
        <f aca="true">IF($D363="","",IF(IFERROR(INDEX(Settings!$C$11:$C$19,MATCH($L363,Settings!$B$11:$B$19,0)),"Yes")="No","",IF($M363="",IF($N363="","",$N363-TODAY()),IF($P363="","",$P363-TODAY()))))</f>
        <v/>
      </c>
      <c r="R363" s="37" t="str">
        <f aca="true">IF($D363="","",IF(IFERROR(INDEX(Settings!$C$11:$C$19,MATCH($L363,Settings!$B$11:$B$19,0)),"Yes")="No","CLOSED",IF($M363="",IF($N363="","ON TRACK",IF($N363&lt;TODAY(),"OVERDUE",IF($N363-TODAY()&lt;=Settings!$C$5,"DUE SOON","ON TRACK"))),IF($P363&lt;=TODAY(),"FOLLOW-UP DUE","ON TRACK"))))</f>
        <v/>
      </c>
      <c r="S363" s="35"/>
      <c r="T363" s="35"/>
      <c r="U363" s="38"/>
      <c r="V363" s="34"/>
      <c r="W363" s="35" t="str">
        <f aca="false">IF(OR($R363="OVERDUE",$R363="DUE SOON",$R363="FOLLOW-UP DUE"),MAX(W$3:W362)+1,"")</f>
        <v/>
      </c>
    </row>
    <row r="364" customFormat="false" ht="15" hidden="false" customHeight="false" outlineLevel="0" collapsed="false">
      <c r="A364" s="33" t="str">
        <f aca="false">IF($D364="","","JOB-"&amp;TEXT(ROW()-3,"000"))</f>
        <v/>
      </c>
      <c r="B364" s="34"/>
      <c r="C364" s="35"/>
      <c r="D364" s="35"/>
      <c r="E364" s="35"/>
      <c r="F364" s="35"/>
      <c r="G364" s="33"/>
      <c r="H364" s="35"/>
      <c r="I364" s="35"/>
      <c r="J364" s="35"/>
      <c r="K364" s="33"/>
      <c r="L364" s="33"/>
      <c r="M364" s="34"/>
      <c r="N364" s="34"/>
      <c r="O364" s="34"/>
      <c r="P364" s="34" t="str">
        <f aca="false">IF(OR($D364="",$M364=""),"",IF(IFERROR(INDEX(Settings!$C$11:$C$19,MATCH($L364,Settings!$B$11:$B$19,0)),"Yes")="No","",MAX($M364,$O364)+Settings!$C$6))</f>
        <v/>
      </c>
      <c r="Q364" s="36" t="str">
        <f aca="true">IF($D364="","",IF(IFERROR(INDEX(Settings!$C$11:$C$19,MATCH($L364,Settings!$B$11:$B$19,0)),"Yes")="No","",IF($M364="",IF($N364="","",$N364-TODAY()),IF($P364="","",$P364-TODAY()))))</f>
        <v/>
      </c>
      <c r="R364" s="37" t="str">
        <f aca="true">IF($D364="","",IF(IFERROR(INDEX(Settings!$C$11:$C$19,MATCH($L364,Settings!$B$11:$B$19,0)),"Yes")="No","CLOSED",IF($M364="",IF($N364="","ON TRACK",IF($N364&lt;TODAY(),"OVERDUE",IF($N364-TODAY()&lt;=Settings!$C$5,"DUE SOON","ON TRACK"))),IF($P364&lt;=TODAY(),"FOLLOW-UP DUE","ON TRACK"))))</f>
        <v/>
      </c>
      <c r="S364" s="35"/>
      <c r="T364" s="35"/>
      <c r="U364" s="38"/>
      <c r="V364" s="34"/>
      <c r="W364" s="35" t="str">
        <f aca="false">IF(OR($R364="OVERDUE",$R364="DUE SOON",$R364="FOLLOW-UP DUE"),MAX(W$3:W363)+1,"")</f>
        <v/>
      </c>
    </row>
    <row r="365" customFormat="false" ht="15" hidden="false" customHeight="false" outlineLevel="0" collapsed="false">
      <c r="A365" s="33" t="str">
        <f aca="false">IF($D365="","","JOB-"&amp;TEXT(ROW()-3,"000"))</f>
        <v/>
      </c>
      <c r="B365" s="34"/>
      <c r="C365" s="35"/>
      <c r="D365" s="35"/>
      <c r="E365" s="35"/>
      <c r="F365" s="35"/>
      <c r="G365" s="33"/>
      <c r="H365" s="35"/>
      <c r="I365" s="35"/>
      <c r="J365" s="35"/>
      <c r="K365" s="33"/>
      <c r="L365" s="33"/>
      <c r="M365" s="34"/>
      <c r="N365" s="34"/>
      <c r="O365" s="34"/>
      <c r="P365" s="34" t="str">
        <f aca="false">IF(OR($D365="",$M365=""),"",IF(IFERROR(INDEX(Settings!$C$11:$C$19,MATCH($L365,Settings!$B$11:$B$19,0)),"Yes")="No","",MAX($M365,$O365)+Settings!$C$6))</f>
        <v/>
      </c>
      <c r="Q365" s="36" t="str">
        <f aca="true">IF($D365="","",IF(IFERROR(INDEX(Settings!$C$11:$C$19,MATCH($L365,Settings!$B$11:$B$19,0)),"Yes")="No","",IF($M365="",IF($N365="","",$N365-TODAY()),IF($P365="","",$P365-TODAY()))))</f>
        <v/>
      </c>
      <c r="R365" s="37" t="str">
        <f aca="true">IF($D365="","",IF(IFERROR(INDEX(Settings!$C$11:$C$19,MATCH($L365,Settings!$B$11:$B$19,0)),"Yes")="No","CLOSED",IF($M365="",IF($N365="","ON TRACK",IF($N365&lt;TODAY(),"OVERDUE",IF($N365-TODAY()&lt;=Settings!$C$5,"DUE SOON","ON TRACK"))),IF($P365&lt;=TODAY(),"FOLLOW-UP DUE","ON TRACK"))))</f>
        <v/>
      </c>
      <c r="S365" s="35"/>
      <c r="T365" s="35"/>
      <c r="U365" s="38"/>
      <c r="V365" s="34"/>
      <c r="W365" s="35" t="str">
        <f aca="false">IF(OR($R365="OVERDUE",$R365="DUE SOON",$R365="FOLLOW-UP DUE"),MAX(W$3:W364)+1,"")</f>
        <v/>
      </c>
    </row>
    <row r="366" customFormat="false" ht="15" hidden="false" customHeight="false" outlineLevel="0" collapsed="false">
      <c r="A366" s="33" t="str">
        <f aca="false">IF($D366="","","JOB-"&amp;TEXT(ROW()-3,"000"))</f>
        <v/>
      </c>
      <c r="B366" s="34"/>
      <c r="C366" s="35"/>
      <c r="D366" s="35"/>
      <c r="E366" s="35"/>
      <c r="F366" s="35"/>
      <c r="G366" s="33"/>
      <c r="H366" s="35"/>
      <c r="I366" s="35"/>
      <c r="J366" s="35"/>
      <c r="K366" s="33"/>
      <c r="L366" s="33"/>
      <c r="M366" s="34"/>
      <c r="N366" s="34"/>
      <c r="O366" s="34"/>
      <c r="P366" s="34" t="str">
        <f aca="false">IF(OR($D366="",$M366=""),"",IF(IFERROR(INDEX(Settings!$C$11:$C$19,MATCH($L366,Settings!$B$11:$B$19,0)),"Yes")="No","",MAX($M366,$O366)+Settings!$C$6))</f>
        <v/>
      </c>
      <c r="Q366" s="36" t="str">
        <f aca="true">IF($D366="","",IF(IFERROR(INDEX(Settings!$C$11:$C$19,MATCH($L366,Settings!$B$11:$B$19,0)),"Yes")="No","",IF($M366="",IF($N366="","",$N366-TODAY()),IF($P366="","",$P366-TODAY()))))</f>
        <v/>
      </c>
      <c r="R366" s="37" t="str">
        <f aca="true">IF($D366="","",IF(IFERROR(INDEX(Settings!$C$11:$C$19,MATCH($L366,Settings!$B$11:$B$19,0)),"Yes")="No","CLOSED",IF($M366="",IF($N366="","ON TRACK",IF($N366&lt;TODAY(),"OVERDUE",IF($N366-TODAY()&lt;=Settings!$C$5,"DUE SOON","ON TRACK"))),IF($P366&lt;=TODAY(),"FOLLOW-UP DUE","ON TRACK"))))</f>
        <v/>
      </c>
      <c r="S366" s="35"/>
      <c r="T366" s="35"/>
      <c r="U366" s="38"/>
      <c r="V366" s="34"/>
      <c r="W366" s="35" t="str">
        <f aca="false">IF(OR($R366="OVERDUE",$R366="DUE SOON",$R366="FOLLOW-UP DUE"),MAX(W$3:W365)+1,"")</f>
        <v/>
      </c>
    </row>
    <row r="367" customFormat="false" ht="15" hidden="false" customHeight="false" outlineLevel="0" collapsed="false">
      <c r="A367" s="33" t="str">
        <f aca="false">IF($D367="","","JOB-"&amp;TEXT(ROW()-3,"000"))</f>
        <v/>
      </c>
      <c r="B367" s="34"/>
      <c r="C367" s="35"/>
      <c r="D367" s="35"/>
      <c r="E367" s="35"/>
      <c r="F367" s="35"/>
      <c r="G367" s="33"/>
      <c r="H367" s="35"/>
      <c r="I367" s="35"/>
      <c r="J367" s="35"/>
      <c r="K367" s="33"/>
      <c r="L367" s="33"/>
      <c r="M367" s="34"/>
      <c r="N367" s="34"/>
      <c r="O367" s="34"/>
      <c r="P367" s="34" t="str">
        <f aca="false">IF(OR($D367="",$M367=""),"",IF(IFERROR(INDEX(Settings!$C$11:$C$19,MATCH($L367,Settings!$B$11:$B$19,0)),"Yes")="No","",MAX($M367,$O367)+Settings!$C$6))</f>
        <v/>
      </c>
      <c r="Q367" s="36" t="str">
        <f aca="true">IF($D367="","",IF(IFERROR(INDEX(Settings!$C$11:$C$19,MATCH($L367,Settings!$B$11:$B$19,0)),"Yes")="No","",IF($M367="",IF($N367="","",$N367-TODAY()),IF($P367="","",$P367-TODAY()))))</f>
        <v/>
      </c>
      <c r="R367" s="37" t="str">
        <f aca="true">IF($D367="","",IF(IFERROR(INDEX(Settings!$C$11:$C$19,MATCH($L367,Settings!$B$11:$B$19,0)),"Yes")="No","CLOSED",IF($M367="",IF($N367="","ON TRACK",IF($N367&lt;TODAY(),"OVERDUE",IF($N367-TODAY()&lt;=Settings!$C$5,"DUE SOON","ON TRACK"))),IF($P367&lt;=TODAY(),"FOLLOW-UP DUE","ON TRACK"))))</f>
        <v/>
      </c>
      <c r="S367" s="35"/>
      <c r="T367" s="35"/>
      <c r="U367" s="38"/>
      <c r="V367" s="34"/>
      <c r="W367" s="35" t="str">
        <f aca="false">IF(OR($R367="OVERDUE",$R367="DUE SOON",$R367="FOLLOW-UP DUE"),MAX(W$3:W366)+1,"")</f>
        <v/>
      </c>
    </row>
    <row r="368" customFormat="false" ht="15" hidden="false" customHeight="false" outlineLevel="0" collapsed="false">
      <c r="A368" s="33" t="str">
        <f aca="false">IF($D368="","","JOB-"&amp;TEXT(ROW()-3,"000"))</f>
        <v/>
      </c>
      <c r="B368" s="34"/>
      <c r="C368" s="35"/>
      <c r="D368" s="35"/>
      <c r="E368" s="35"/>
      <c r="F368" s="35"/>
      <c r="G368" s="33"/>
      <c r="H368" s="35"/>
      <c r="I368" s="35"/>
      <c r="J368" s="35"/>
      <c r="K368" s="33"/>
      <c r="L368" s="33"/>
      <c r="M368" s="34"/>
      <c r="N368" s="34"/>
      <c r="O368" s="34"/>
      <c r="P368" s="34" t="str">
        <f aca="false">IF(OR($D368="",$M368=""),"",IF(IFERROR(INDEX(Settings!$C$11:$C$19,MATCH($L368,Settings!$B$11:$B$19,0)),"Yes")="No","",MAX($M368,$O368)+Settings!$C$6))</f>
        <v/>
      </c>
      <c r="Q368" s="36" t="str">
        <f aca="true">IF($D368="","",IF(IFERROR(INDEX(Settings!$C$11:$C$19,MATCH($L368,Settings!$B$11:$B$19,0)),"Yes")="No","",IF($M368="",IF($N368="","",$N368-TODAY()),IF($P368="","",$P368-TODAY()))))</f>
        <v/>
      </c>
      <c r="R368" s="37" t="str">
        <f aca="true">IF($D368="","",IF(IFERROR(INDEX(Settings!$C$11:$C$19,MATCH($L368,Settings!$B$11:$B$19,0)),"Yes")="No","CLOSED",IF($M368="",IF($N368="","ON TRACK",IF($N368&lt;TODAY(),"OVERDUE",IF($N368-TODAY()&lt;=Settings!$C$5,"DUE SOON","ON TRACK"))),IF($P368&lt;=TODAY(),"FOLLOW-UP DUE","ON TRACK"))))</f>
        <v/>
      </c>
      <c r="S368" s="35"/>
      <c r="T368" s="35"/>
      <c r="U368" s="38"/>
      <c r="V368" s="34"/>
      <c r="W368" s="35" t="str">
        <f aca="false">IF(OR($R368="OVERDUE",$R368="DUE SOON",$R368="FOLLOW-UP DUE"),MAX(W$3:W367)+1,"")</f>
        <v/>
      </c>
    </row>
    <row r="369" customFormat="false" ht="15" hidden="false" customHeight="false" outlineLevel="0" collapsed="false">
      <c r="A369" s="33" t="str">
        <f aca="false">IF($D369="","","JOB-"&amp;TEXT(ROW()-3,"000"))</f>
        <v/>
      </c>
      <c r="B369" s="34"/>
      <c r="C369" s="35"/>
      <c r="D369" s="35"/>
      <c r="E369" s="35"/>
      <c r="F369" s="35"/>
      <c r="G369" s="33"/>
      <c r="H369" s="35"/>
      <c r="I369" s="35"/>
      <c r="J369" s="35"/>
      <c r="K369" s="33"/>
      <c r="L369" s="33"/>
      <c r="M369" s="34"/>
      <c r="N369" s="34"/>
      <c r="O369" s="34"/>
      <c r="P369" s="34" t="str">
        <f aca="false">IF(OR($D369="",$M369=""),"",IF(IFERROR(INDEX(Settings!$C$11:$C$19,MATCH($L369,Settings!$B$11:$B$19,0)),"Yes")="No","",MAX($M369,$O369)+Settings!$C$6))</f>
        <v/>
      </c>
      <c r="Q369" s="36" t="str">
        <f aca="true">IF($D369="","",IF(IFERROR(INDEX(Settings!$C$11:$C$19,MATCH($L369,Settings!$B$11:$B$19,0)),"Yes")="No","",IF($M369="",IF($N369="","",$N369-TODAY()),IF($P369="","",$P369-TODAY()))))</f>
        <v/>
      </c>
      <c r="R369" s="37" t="str">
        <f aca="true">IF($D369="","",IF(IFERROR(INDEX(Settings!$C$11:$C$19,MATCH($L369,Settings!$B$11:$B$19,0)),"Yes")="No","CLOSED",IF($M369="",IF($N369="","ON TRACK",IF($N369&lt;TODAY(),"OVERDUE",IF($N369-TODAY()&lt;=Settings!$C$5,"DUE SOON","ON TRACK"))),IF($P369&lt;=TODAY(),"FOLLOW-UP DUE","ON TRACK"))))</f>
        <v/>
      </c>
      <c r="S369" s="35"/>
      <c r="T369" s="35"/>
      <c r="U369" s="38"/>
      <c r="V369" s="34"/>
      <c r="W369" s="35" t="str">
        <f aca="false">IF(OR($R369="OVERDUE",$R369="DUE SOON",$R369="FOLLOW-UP DUE"),MAX(W$3:W368)+1,"")</f>
        <v/>
      </c>
    </row>
    <row r="370" customFormat="false" ht="15" hidden="false" customHeight="false" outlineLevel="0" collapsed="false">
      <c r="A370" s="33" t="str">
        <f aca="false">IF($D370="","","JOB-"&amp;TEXT(ROW()-3,"000"))</f>
        <v/>
      </c>
      <c r="B370" s="34"/>
      <c r="C370" s="35"/>
      <c r="D370" s="35"/>
      <c r="E370" s="35"/>
      <c r="F370" s="35"/>
      <c r="G370" s="33"/>
      <c r="H370" s="35"/>
      <c r="I370" s="35"/>
      <c r="J370" s="35"/>
      <c r="K370" s="33"/>
      <c r="L370" s="33"/>
      <c r="M370" s="34"/>
      <c r="N370" s="34"/>
      <c r="O370" s="34"/>
      <c r="P370" s="34" t="str">
        <f aca="false">IF(OR($D370="",$M370=""),"",IF(IFERROR(INDEX(Settings!$C$11:$C$19,MATCH($L370,Settings!$B$11:$B$19,0)),"Yes")="No","",MAX($M370,$O370)+Settings!$C$6))</f>
        <v/>
      </c>
      <c r="Q370" s="36" t="str">
        <f aca="true">IF($D370="","",IF(IFERROR(INDEX(Settings!$C$11:$C$19,MATCH($L370,Settings!$B$11:$B$19,0)),"Yes")="No","",IF($M370="",IF($N370="","",$N370-TODAY()),IF($P370="","",$P370-TODAY()))))</f>
        <v/>
      </c>
      <c r="R370" s="37" t="str">
        <f aca="true">IF($D370="","",IF(IFERROR(INDEX(Settings!$C$11:$C$19,MATCH($L370,Settings!$B$11:$B$19,0)),"Yes")="No","CLOSED",IF($M370="",IF($N370="","ON TRACK",IF($N370&lt;TODAY(),"OVERDUE",IF($N370-TODAY()&lt;=Settings!$C$5,"DUE SOON","ON TRACK"))),IF($P370&lt;=TODAY(),"FOLLOW-UP DUE","ON TRACK"))))</f>
        <v/>
      </c>
      <c r="S370" s="35"/>
      <c r="T370" s="35"/>
      <c r="U370" s="38"/>
      <c r="V370" s="34"/>
      <c r="W370" s="35" t="str">
        <f aca="false">IF(OR($R370="OVERDUE",$R370="DUE SOON",$R370="FOLLOW-UP DUE"),MAX(W$3:W369)+1,"")</f>
        <v/>
      </c>
    </row>
    <row r="371" customFormat="false" ht="15" hidden="false" customHeight="false" outlineLevel="0" collapsed="false">
      <c r="A371" s="33" t="str">
        <f aca="false">IF($D371="","","JOB-"&amp;TEXT(ROW()-3,"000"))</f>
        <v/>
      </c>
      <c r="B371" s="34"/>
      <c r="C371" s="35"/>
      <c r="D371" s="35"/>
      <c r="E371" s="35"/>
      <c r="F371" s="35"/>
      <c r="G371" s="33"/>
      <c r="H371" s="35"/>
      <c r="I371" s="35"/>
      <c r="J371" s="35"/>
      <c r="K371" s="33"/>
      <c r="L371" s="33"/>
      <c r="M371" s="34"/>
      <c r="N371" s="34"/>
      <c r="O371" s="34"/>
      <c r="P371" s="34" t="str">
        <f aca="false">IF(OR($D371="",$M371=""),"",IF(IFERROR(INDEX(Settings!$C$11:$C$19,MATCH($L371,Settings!$B$11:$B$19,0)),"Yes")="No","",MAX($M371,$O371)+Settings!$C$6))</f>
        <v/>
      </c>
      <c r="Q371" s="36" t="str">
        <f aca="true">IF($D371="","",IF(IFERROR(INDEX(Settings!$C$11:$C$19,MATCH($L371,Settings!$B$11:$B$19,0)),"Yes")="No","",IF($M371="",IF($N371="","",$N371-TODAY()),IF($P371="","",$P371-TODAY()))))</f>
        <v/>
      </c>
      <c r="R371" s="37" t="str">
        <f aca="true">IF($D371="","",IF(IFERROR(INDEX(Settings!$C$11:$C$19,MATCH($L371,Settings!$B$11:$B$19,0)),"Yes")="No","CLOSED",IF($M371="",IF($N371="","ON TRACK",IF($N371&lt;TODAY(),"OVERDUE",IF($N371-TODAY()&lt;=Settings!$C$5,"DUE SOON","ON TRACK"))),IF($P371&lt;=TODAY(),"FOLLOW-UP DUE","ON TRACK"))))</f>
        <v/>
      </c>
      <c r="S371" s="35"/>
      <c r="T371" s="35"/>
      <c r="U371" s="38"/>
      <c r="V371" s="34"/>
      <c r="W371" s="35" t="str">
        <f aca="false">IF(OR($R371="OVERDUE",$R371="DUE SOON",$R371="FOLLOW-UP DUE"),MAX(W$3:W370)+1,"")</f>
        <v/>
      </c>
    </row>
    <row r="372" customFormat="false" ht="15" hidden="false" customHeight="false" outlineLevel="0" collapsed="false">
      <c r="A372" s="33" t="str">
        <f aca="false">IF($D372="","","JOB-"&amp;TEXT(ROW()-3,"000"))</f>
        <v/>
      </c>
      <c r="B372" s="34"/>
      <c r="C372" s="35"/>
      <c r="D372" s="35"/>
      <c r="E372" s="35"/>
      <c r="F372" s="35"/>
      <c r="G372" s="33"/>
      <c r="H372" s="35"/>
      <c r="I372" s="35"/>
      <c r="J372" s="35"/>
      <c r="K372" s="33"/>
      <c r="L372" s="33"/>
      <c r="M372" s="34"/>
      <c r="N372" s="34"/>
      <c r="O372" s="34"/>
      <c r="P372" s="34" t="str">
        <f aca="false">IF(OR($D372="",$M372=""),"",IF(IFERROR(INDEX(Settings!$C$11:$C$19,MATCH($L372,Settings!$B$11:$B$19,0)),"Yes")="No","",MAX($M372,$O372)+Settings!$C$6))</f>
        <v/>
      </c>
      <c r="Q372" s="36" t="str">
        <f aca="true">IF($D372="","",IF(IFERROR(INDEX(Settings!$C$11:$C$19,MATCH($L372,Settings!$B$11:$B$19,0)),"Yes")="No","",IF($M372="",IF($N372="","",$N372-TODAY()),IF($P372="","",$P372-TODAY()))))</f>
        <v/>
      </c>
      <c r="R372" s="37" t="str">
        <f aca="true">IF($D372="","",IF(IFERROR(INDEX(Settings!$C$11:$C$19,MATCH($L372,Settings!$B$11:$B$19,0)),"Yes")="No","CLOSED",IF($M372="",IF($N372="","ON TRACK",IF($N372&lt;TODAY(),"OVERDUE",IF($N372-TODAY()&lt;=Settings!$C$5,"DUE SOON","ON TRACK"))),IF($P372&lt;=TODAY(),"FOLLOW-UP DUE","ON TRACK"))))</f>
        <v/>
      </c>
      <c r="S372" s="35"/>
      <c r="T372" s="35"/>
      <c r="U372" s="38"/>
      <c r="V372" s="34"/>
      <c r="W372" s="35" t="str">
        <f aca="false">IF(OR($R372="OVERDUE",$R372="DUE SOON",$R372="FOLLOW-UP DUE"),MAX(W$3:W371)+1,"")</f>
        <v/>
      </c>
    </row>
    <row r="373" customFormat="false" ht="15" hidden="false" customHeight="false" outlineLevel="0" collapsed="false">
      <c r="A373" s="33" t="str">
        <f aca="false">IF($D373="","","JOB-"&amp;TEXT(ROW()-3,"000"))</f>
        <v/>
      </c>
      <c r="B373" s="34"/>
      <c r="C373" s="35"/>
      <c r="D373" s="35"/>
      <c r="E373" s="35"/>
      <c r="F373" s="35"/>
      <c r="G373" s="33"/>
      <c r="H373" s="35"/>
      <c r="I373" s="35"/>
      <c r="J373" s="35"/>
      <c r="K373" s="33"/>
      <c r="L373" s="33"/>
      <c r="M373" s="34"/>
      <c r="N373" s="34"/>
      <c r="O373" s="34"/>
      <c r="P373" s="34" t="str">
        <f aca="false">IF(OR($D373="",$M373=""),"",IF(IFERROR(INDEX(Settings!$C$11:$C$19,MATCH($L373,Settings!$B$11:$B$19,0)),"Yes")="No","",MAX($M373,$O373)+Settings!$C$6))</f>
        <v/>
      </c>
      <c r="Q373" s="36" t="str">
        <f aca="true">IF($D373="","",IF(IFERROR(INDEX(Settings!$C$11:$C$19,MATCH($L373,Settings!$B$11:$B$19,0)),"Yes")="No","",IF($M373="",IF($N373="","",$N373-TODAY()),IF($P373="","",$P373-TODAY()))))</f>
        <v/>
      </c>
      <c r="R373" s="37" t="str">
        <f aca="true">IF($D373="","",IF(IFERROR(INDEX(Settings!$C$11:$C$19,MATCH($L373,Settings!$B$11:$B$19,0)),"Yes")="No","CLOSED",IF($M373="",IF($N373="","ON TRACK",IF($N373&lt;TODAY(),"OVERDUE",IF($N373-TODAY()&lt;=Settings!$C$5,"DUE SOON","ON TRACK"))),IF($P373&lt;=TODAY(),"FOLLOW-UP DUE","ON TRACK"))))</f>
        <v/>
      </c>
      <c r="S373" s="35"/>
      <c r="T373" s="35"/>
      <c r="U373" s="38"/>
      <c r="V373" s="34"/>
      <c r="W373" s="35" t="str">
        <f aca="false">IF(OR($R373="OVERDUE",$R373="DUE SOON",$R373="FOLLOW-UP DUE"),MAX(W$3:W372)+1,"")</f>
        <v/>
      </c>
    </row>
    <row r="374" customFormat="false" ht="15" hidden="false" customHeight="false" outlineLevel="0" collapsed="false">
      <c r="A374" s="33" t="str">
        <f aca="false">IF($D374="","","JOB-"&amp;TEXT(ROW()-3,"000"))</f>
        <v/>
      </c>
      <c r="B374" s="34"/>
      <c r="C374" s="35"/>
      <c r="D374" s="35"/>
      <c r="E374" s="35"/>
      <c r="F374" s="35"/>
      <c r="G374" s="33"/>
      <c r="H374" s="35"/>
      <c r="I374" s="35"/>
      <c r="J374" s="35"/>
      <c r="K374" s="33"/>
      <c r="L374" s="33"/>
      <c r="M374" s="34"/>
      <c r="N374" s="34"/>
      <c r="O374" s="34"/>
      <c r="P374" s="34" t="str">
        <f aca="false">IF(OR($D374="",$M374=""),"",IF(IFERROR(INDEX(Settings!$C$11:$C$19,MATCH($L374,Settings!$B$11:$B$19,0)),"Yes")="No","",MAX($M374,$O374)+Settings!$C$6))</f>
        <v/>
      </c>
      <c r="Q374" s="36" t="str">
        <f aca="true">IF($D374="","",IF(IFERROR(INDEX(Settings!$C$11:$C$19,MATCH($L374,Settings!$B$11:$B$19,0)),"Yes")="No","",IF($M374="",IF($N374="","",$N374-TODAY()),IF($P374="","",$P374-TODAY()))))</f>
        <v/>
      </c>
      <c r="R374" s="37" t="str">
        <f aca="true">IF($D374="","",IF(IFERROR(INDEX(Settings!$C$11:$C$19,MATCH($L374,Settings!$B$11:$B$19,0)),"Yes")="No","CLOSED",IF($M374="",IF($N374="","ON TRACK",IF($N374&lt;TODAY(),"OVERDUE",IF($N374-TODAY()&lt;=Settings!$C$5,"DUE SOON","ON TRACK"))),IF($P374&lt;=TODAY(),"FOLLOW-UP DUE","ON TRACK"))))</f>
        <v/>
      </c>
      <c r="S374" s="35"/>
      <c r="T374" s="35"/>
      <c r="U374" s="38"/>
      <c r="V374" s="34"/>
      <c r="W374" s="35" t="str">
        <f aca="false">IF(OR($R374="OVERDUE",$R374="DUE SOON",$R374="FOLLOW-UP DUE"),MAX(W$3:W373)+1,"")</f>
        <v/>
      </c>
    </row>
    <row r="375" customFormat="false" ht="15" hidden="false" customHeight="false" outlineLevel="0" collapsed="false">
      <c r="A375" s="33" t="str">
        <f aca="false">IF($D375="","","JOB-"&amp;TEXT(ROW()-3,"000"))</f>
        <v/>
      </c>
      <c r="B375" s="34"/>
      <c r="C375" s="35"/>
      <c r="D375" s="35"/>
      <c r="E375" s="35"/>
      <c r="F375" s="35"/>
      <c r="G375" s="33"/>
      <c r="H375" s="35"/>
      <c r="I375" s="35"/>
      <c r="J375" s="35"/>
      <c r="K375" s="33"/>
      <c r="L375" s="33"/>
      <c r="M375" s="34"/>
      <c r="N375" s="34"/>
      <c r="O375" s="34"/>
      <c r="P375" s="34" t="str">
        <f aca="false">IF(OR($D375="",$M375=""),"",IF(IFERROR(INDEX(Settings!$C$11:$C$19,MATCH($L375,Settings!$B$11:$B$19,0)),"Yes")="No","",MAX($M375,$O375)+Settings!$C$6))</f>
        <v/>
      </c>
      <c r="Q375" s="36" t="str">
        <f aca="true">IF($D375="","",IF(IFERROR(INDEX(Settings!$C$11:$C$19,MATCH($L375,Settings!$B$11:$B$19,0)),"Yes")="No","",IF($M375="",IF($N375="","",$N375-TODAY()),IF($P375="","",$P375-TODAY()))))</f>
        <v/>
      </c>
      <c r="R375" s="37" t="str">
        <f aca="true">IF($D375="","",IF(IFERROR(INDEX(Settings!$C$11:$C$19,MATCH($L375,Settings!$B$11:$B$19,0)),"Yes")="No","CLOSED",IF($M375="",IF($N375="","ON TRACK",IF($N375&lt;TODAY(),"OVERDUE",IF($N375-TODAY()&lt;=Settings!$C$5,"DUE SOON","ON TRACK"))),IF($P375&lt;=TODAY(),"FOLLOW-UP DUE","ON TRACK"))))</f>
        <v/>
      </c>
      <c r="S375" s="35"/>
      <c r="T375" s="35"/>
      <c r="U375" s="38"/>
      <c r="V375" s="34"/>
      <c r="W375" s="35" t="str">
        <f aca="false">IF(OR($R375="OVERDUE",$R375="DUE SOON",$R375="FOLLOW-UP DUE"),MAX(W$3:W374)+1,"")</f>
        <v/>
      </c>
    </row>
    <row r="376" customFormat="false" ht="15" hidden="false" customHeight="false" outlineLevel="0" collapsed="false">
      <c r="A376" s="33" t="str">
        <f aca="false">IF($D376="","","JOB-"&amp;TEXT(ROW()-3,"000"))</f>
        <v/>
      </c>
      <c r="B376" s="34"/>
      <c r="C376" s="35"/>
      <c r="D376" s="35"/>
      <c r="E376" s="35"/>
      <c r="F376" s="35"/>
      <c r="G376" s="33"/>
      <c r="H376" s="35"/>
      <c r="I376" s="35"/>
      <c r="J376" s="35"/>
      <c r="K376" s="33"/>
      <c r="L376" s="33"/>
      <c r="M376" s="34"/>
      <c r="N376" s="34"/>
      <c r="O376" s="34"/>
      <c r="P376" s="34" t="str">
        <f aca="false">IF(OR($D376="",$M376=""),"",IF(IFERROR(INDEX(Settings!$C$11:$C$19,MATCH($L376,Settings!$B$11:$B$19,0)),"Yes")="No","",MAX($M376,$O376)+Settings!$C$6))</f>
        <v/>
      </c>
      <c r="Q376" s="36" t="str">
        <f aca="true">IF($D376="","",IF(IFERROR(INDEX(Settings!$C$11:$C$19,MATCH($L376,Settings!$B$11:$B$19,0)),"Yes")="No","",IF($M376="",IF($N376="","",$N376-TODAY()),IF($P376="","",$P376-TODAY()))))</f>
        <v/>
      </c>
      <c r="R376" s="37" t="str">
        <f aca="true">IF($D376="","",IF(IFERROR(INDEX(Settings!$C$11:$C$19,MATCH($L376,Settings!$B$11:$B$19,0)),"Yes")="No","CLOSED",IF($M376="",IF($N376="","ON TRACK",IF($N376&lt;TODAY(),"OVERDUE",IF($N376-TODAY()&lt;=Settings!$C$5,"DUE SOON","ON TRACK"))),IF($P376&lt;=TODAY(),"FOLLOW-UP DUE","ON TRACK"))))</f>
        <v/>
      </c>
      <c r="S376" s="35"/>
      <c r="T376" s="35"/>
      <c r="U376" s="38"/>
      <c r="V376" s="34"/>
      <c r="W376" s="35" t="str">
        <f aca="false">IF(OR($R376="OVERDUE",$R376="DUE SOON",$R376="FOLLOW-UP DUE"),MAX(W$3:W375)+1,"")</f>
        <v/>
      </c>
    </row>
    <row r="377" customFormat="false" ht="15" hidden="false" customHeight="false" outlineLevel="0" collapsed="false">
      <c r="A377" s="33" t="str">
        <f aca="false">IF($D377="","","JOB-"&amp;TEXT(ROW()-3,"000"))</f>
        <v/>
      </c>
      <c r="B377" s="34"/>
      <c r="C377" s="35"/>
      <c r="D377" s="35"/>
      <c r="E377" s="35"/>
      <c r="F377" s="35"/>
      <c r="G377" s="33"/>
      <c r="H377" s="35"/>
      <c r="I377" s="35"/>
      <c r="J377" s="35"/>
      <c r="K377" s="33"/>
      <c r="L377" s="33"/>
      <c r="M377" s="34"/>
      <c r="N377" s="34"/>
      <c r="O377" s="34"/>
      <c r="P377" s="34" t="str">
        <f aca="false">IF(OR($D377="",$M377=""),"",IF(IFERROR(INDEX(Settings!$C$11:$C$19,MATCH($L377,Settings!$B$11:$B$19,0)),"Yes")="No","",MAX($M377,$O377)+Settings!$C$6))</f>
        <v/>
      </c>
      <c r="Q377" s="36" t="str">
        <f aca="true">IF($D377="","",IF(IFERROR(INDEX(Settings!$C$11:$C$19,MATCH($L377,Settings!$B$11:$B$19,0)),"Yes")="No","",IF($M377="",IF($N377="","",$N377-TODAY()),IF($P377="","",$P377-TODAY()))))</f>
        <v/>
      </c>
      <c r="R377" s="37" t="str">
        <f aca="true">IF($D377="","",IF(IFERROR(INDEX(Settings!$C$11:$C$19,MATCH($L377,Settings!$B$11:$B$19,0)),"Yes")="No","CLOSED",IF($M377="",IF($N377="","ON TRACK",IF($N377&lt;TODAY(),"OVERDUE",IF($N377-TODAY()&lt;=Settings!$C$5,"DUE SOON","ON TRACK"))),IF($P377&lt;=TODAY(),"FOLLOW-UP DUE","ON TRACK"))))</f>
        <v/>
      </c>
      <c r="S377" s="35"/>
      <c r="T377" s="35"/>
      <c r="U377" s="38"/>
      <c r="V377" s="34"/>
      <c r="W377" s="35" t="str">
        <f aca="false">IF(OR($R377="OVERDUE",$R377="DUE SOON",$R377="FOLLOW-UP DUE"),MAX(W$3:W376)+1,"")</f>
        <v/>
      </c>
    </row>
    <row r="378" customFormat="false" ht="15" hidden="false" customHeight="false" outlineLevel="0" collapsed="false">
      <c r="A378" s="33" t="str">
        <f aca="false">IF($D378="","","JOB-"&amp;TEXT(ROW()-3,"000"))</f>
        <v/>
      </c>
      <c r="B378" s="34"/>
      <c r="C378" s="35"/>
      <c r="D378" s="35"/>
      <c r="E378" s="35"/>
      <c r="F378" s="35"/>
      <c r="G378" s="33"/>
      <c r="H378" s="35"/>
      <c r="I378" s="35"/>
      <c r="J378" s="35"/>
      <c r="K378" s="33"/>
      <c r="L378" s="33"/>
      <c r="M378" s="34"/>
      <c r="N378" s="34"/>
      <c r="O378" s="34"/>
      <c r="P378" s="34" t="str">
        <f aca="false">IF(OR($D378="",$M378=""),"",IF(IFERROR(INDEX(Settings!$C$11:$C$19,MATCH($L378,Settings!$B$11:$B$19,0)),"Yes")="No","",MAX($M378,$O378)+Settings!$C$6))</f>
        <v/>
      </c>
      <c r="Q378" s="36" t="str">
        <f aca="true">IF($D378="","",IF(IFERROR(INDEX(Settings!$C$11:$C$19,MATCH($L378,Settings!$B$11:$B$19,0)),"Yes")="No","",IF($M378="",IF($N378="","",$N378-TODAY()),IF($P378="","",$P378-TODAY()))))</f>
        <v/>
      </c>
      <c r="R378" s="37" t="str">
        <f aca="true">IF($D378="","",IF(IFERROR(INDEX(Settings!$C$11:$C$19,MATCH($L378,Settings!$B$11:$B$19,0)),"Yes")="No","CLOSED",IF($M378="",IF($N378="","ON TRACK",IF($N378&lt;TODAY(),"OVERDUE",IF($N378-TODAY()&lt;=Settings!$C$5,"DUE SOON","ON TRACK"))),IF($P378&lt;=TODAY(),"FOLLOW-UP DUE","ON TRACK"))))</f>
        <v/>
      </c>
      <c r="S378" s="35"/>
      <c r="T378" s="35"/>
      <c r="U378" s="38"/>
      <c r="V378" s="34"/>
      <c r="W378" s="35" t="str">
        <f aca="false">IF(OR($R378="OVERDUE",$R378="DUE SOON",$R378="FOLLOW-UP DUE"),MAX(W$3:W377)+1,"")</f>
        <v/>
      </c>
    </row>
    <row r="379" customFormat="false" ht="15" hidden="false" customHeight="false" outlineLevel="0" collapsed="false">
      <c r="A379" s="33" t="str">
        <f aca="false">IF($D379="","","JOB-"&amp;TEXT(ROW()-3,"000"))</f>
        <v/>
      </c>
      <c r="B379" s="34"/>
      <c r="C379" s="35"/>
      <c r="D379" s="35"/>
      <c r="E379" s="35"/>
      <c r="F379" s="35"/>
      <c r="G379" s="33"/>
      <c r="H379" s="35"/>
      <c r="I379" s="35"/>
      <c r="J379" s="35"/>
      <c r="K379" s="33"/>
      <c r="L379" s="33"/>
      <c r="M379" s="34"/>
      <c r="N379" s="34"/>
      <c r="O379" s="34"/>
      <c r="P379" s="34" t="str">
        <f aca="false">IF(OR($D379="",$M379=""),"",IF(IFERROR(INDEX(Settings!$C$11:$C$19,MATCH($L379,Settings!$B$11:$B$19,0)),"Yes")="No","",MAX($M379,$O379)+Settings!$C$6))</f>
        <v/>
      </c>
      <c r="Q379" s="36" t="str">
        <f aca="true">IF($D379="","",IF(IFERROR(INDEX(Settings!$C$11:$C$19,MATCH($L379,Settings!$B$11:$B$19,0)),"Yes")="No","",IF($M379="",IF($N379="","",$N379-TODAY()),IF($P379="","",$P379-TODAY()))))</f>
        <v/>
      </c>
      <c r="R379" s="37" t="str">
        <f aca="true">IF($D379="","",IF(IFERROR(INDEX(Settings!$C$11:$C$19,MATCH($L379,Settings!$B$11:$B$19,0)),"Yes")="No","CLOSED",IF($M379="",IF($N379="","ON TRACK",IF($N379&lt;TODAY(),"OVERDUE",IF($N379-TODAY()&lt;=Settings!$C$5,"DUE SOON","ON TRACK"))),IF($P379&lt;=TODAY(),"FOLLOW-UP DUE","ON TRACK"))))</f>
        <v/>
      </c>
      <c r="S379" s="35"/>
      <c r="T379" s="35"/>
      <c r="U379" s="38"/>
      <c r="V379" s="34"/>
      <c r="W379" s="35" t="str">
        <f aca="false">IF(OR($R379="OVERDUE",$R379="DUE SOON",$R379="FOLLOW-UP DUE"),MAX(W$3:W378)+1,"")</f>
        <v/>
      </c>
    </row>
    <row r="380" customFormat="false" ht="15" hidden="false" customHeight="false" outlineLevel="0" collapsed="false">
      <c r="A380" s="33" t="str">
        <f aca="false">IF($D380="","","JOB-"&amp;TEXT(ROW()-3,"000"))</f>
        <v/>
      </c>
      <c r="B380" s="34"/>
      <c r="C380" s="35"/>
      <c r="D380" s="35"/>
      <c r="E380" s="35"/>
      <c r="F380" s="35"/>
      <c r="G380" s="33"/>
      <c r="H380" s="35"/>
      <c r="I380" s="35"/>
      <c r="J380" s="35"/>
      <c r="K380" s="33"/>
      <c r="L380" s="33"/>
      <c r="M380" s="34"/>
      <c r="N380" s="34"/>
      <c r="O380" s="34"/>
      <c r="P380" s="34" t="str">
        <f aca="false">IF(OR($D380="",$M380=""),"",IF(IFERROR(INDEX(Settings!$C$11:$C$19,MATCH($L380,Settings!$B$11:$B$19,0)),"Yes")="No","",MAX($M380,$O380)+Settings!$C$6))</f>
        <v/>
      </c>
      <c r="Q380" s="36" t="str">
        <f aca="true">IF($D380="","",IF(IFERROR(INDEX(Settings!$C$11:$C$19,MATCH($L380,Settings!$B$11:$B$19,0)),"Yes")="No","",IF($M380="",IF($N380="","",$N380-TODAY()),IF($P380="","",$P380-TODAY()))))</f>
        <v/>
      </c>
      <c r="R380" s="37" t="str">
        <f aca="true">IF($D380="","",IF(IFERROR(INDEX(Settings!$C$11:$C$19,MATCH($L380,Settings!$B$11:$B$19,0)),"Yes")="No","CLOSED",IF($M380="",IF($N380="","ON TRACK",IF($N380&lt;TODAY(),"OVERDUE",IF($N380-TODAY()&lt;=Settings!$C$5,"DUE SOON","ON TRACK"))),IF($P380&lt;=TODAY(),"FOLLOW-UP DUE","ON TRACK"))))</f>
        <v/>
      </c>
      <c r="S380" s="35"/>
      <c r="T380" s="35"/>
      <c r="U380" s="38"/>
      <c r="V380" s="34"/>
      <c r="W380" s="35" t="str">
        <f aca="false">IF(OR($R380="OVERDUE",$R380="DUE SOON",$R380="FOLLOW-UP DUE"),MAX(W$3:W379)+1,"")</f>
        <v/>
      </c>
    </row>
    <row r="381" customFormat="false" ht="15" hidden="false" customHeight="false" outlineLevel="0" collapsed="false">
      <c r="A381" s="33" t="str">
        <f aca="false">IF($D381="","","JOB-"&amp;TEXT(ROW()-3,"000"))</f>
        <v/>
      </c>
      <c r="B381" s="34"/>
      <c r="C381" s="35"/>
      <c r="D381" s="35"/>
      <c r="E381" s="35"/>
      <c r="F381" s="35"/>
      <c r="G381" s="33"/>
      <c r="H381" s="35"/>
      <c r="I381" s="35"/>
      <c r="J381" s="35"/>
      <c r="K381" s="33"/>
      <c r="L381" s="33"/>
      <c r="M381" s="34"/>
      <c r="N381" s="34"/>
      <c r="O381" s="34"/>
      <c r="P381" s="34" t="str">
        <f aca="false">IF(OR($D381="",$M381=""),"",IF(IFERROR(INDEX(Settings!$C$11:$C$19,MATCH($L381,Settings!$B$11:$B$19,0)),"Yes")="No","",MAX($M381,$O381)+Settings!$C$6))</f>
        <v/>
      </c>
      <c r="Q381" s="36" t="str">
        <f aca="true">IF($D381="","",IF(IFERROR(INDEX(Settings!$C$11:$C$19,MATCH($L381,Settings!$B$11:$B$19,0)),"Yes")="No","",IF($M381="",IF($N381="","",$N381-TODAY()),IF($P381="","",$P381-TODAY()))))</f>
        <v/>
      </c>
      <c r="R381" s="37" t="str">
        <f aca="true">IF($D381="","",IF(IFERROR(INDEX(Settings!$C$11:$C$19,MATCH($L381,Settings!$B$11:$B$19,0)),"Yes")="No","CLOSED",IF($M381="",IF($N381="","ON TRACK",IF($N381&lt;TODAY(),"OVERDUE",IF($N381-TODAY()&lt;=Settings!$C$5,"DUE SOON","ON TRACK"))),IF($P381&lt;=TODAY(),"FOLLOW-UP DUE","ON TRACK"))))</f>
        <v/>
      </c>
      <c r="S381" s="35"/>
      <c r="T381" s="35"/>
      <c r="U381" s="38"/>
      <c r="V381" s="34"/>
      <c r="W381" s="35" t="str">
        <f aca="false">IF(OR($R381="OVERDUE",$R381="DUE SOON",$R381="FOLLOW-UP DUE"),MAX(W$3:W380)+1,"")</f>
        <v/>
      </c>
    </row>
    <row r="382" customFormat="false" ht="15" hidden="false" customHeight="false" outlineLevel="0" collapsed="false">
      <c r="A382" s="33" t="str">
        <f aca="false">IF($D382="","","JOB-"&amp;TEXT(ROW()-3,"000"))</f>
        <v/>
      </c>
      <c r="B382" s="34"/>
      <c r="C382" s="35"/>
      <c r="D382" s="35"/>
      <c r="E382" s="35"/>
      <c r="F382" s="35"/>
      <c r="G382" s="33"/>
      <c r="H382" s="35"/>
      <c r="I382" s="35"/>
      <c r="J382" s="35"/>
      <c r="K382" s="33"/>
      <c r="L382" s="33"/>
      <c r="M382" s="34"/>
      <c r="N382" s="34"/>
      <c r="O382" s="34"/>
      <c r="P382" s="34" t="str">
        <f aca="false">IF(OR($D382="",$M382=""),"",IF(IFERROR(INDEX(Settings!$C$11:$C$19,MATCH($L382,Settings!$B$11:$B$19,0)),"Yes")="No","",MAX($M382,$O382)+Settings!$C$6))</f>
        <v/>
      </c>
      <c r="Q382" s="36" t="str">
        <f aca="true">IF($D382="","",IF(IFERROR(INDEX(Settings!$C$11:$C$19,MATCH($L382,Settings!$B$11:$B$19,0)),"Yes")="No","",IF($M382="",IF($N382="","",$N382-TODAY()),IF($P382="","",$P382-TODAY()))))</f>
        <v/>
      </c>
      <c r="R382" s="37" t="str">
        <f aca="true">IF($D382="","",IF(IFERROR(INDEX(Settings!$C$11:$C$19,MATCH($L382,Settings!$B$11:$B$19,0)),"Yes")="No","CLOSED",IF($M382="",IF($N382="","ON TRACK",IF($N382&lt;TODAY(),"OVERDUE",IF($N382-TODAY()&lt;=Settings!$C$5,"DUE SOON","ON TRACK"))),IF($P382&lt;=TODAY(),"FOLLOW-UP DUE","ON TRACK"))))</f>
        <v/>
      </c>
      <c r="S382" s="35"/>
      <c r="T382" s="35"/>
      <c r="U382" s="38"/>
      <c r="V382" s="34"/>
      <c r="W382" s="35" t="str">
        <f aca="false">IF(OR($R382="OVERDUE",$R382="DUE SOON",$R382="FOLLOW-UP DUE"),MAX(W$3:W381)+1,"")</f>
        <v/>
      </c>
    </row>
    <row r="383" customFormat="false" ht="15" hidden="false" customHeight="false" outlineLevel="0" collapsed="false">
      <c r="A383" s="33" t="str">
        <f aca="false">IF($D383="","","JOB-"&amp;TEXT(ROW()-3,"000"))</f>
        <v/>
      </c>
      <c r="B383" s="34"/>
      <c r="C383" s="35"/>
      <c r="D383" s="35"/>
      <c r="E383" s="35"/>
      <c r="F383" s="35"/>
      <c r="G383" s="33"/>
      <c r="H383" s="35"/>
      <c r="I383" s="35"/>
      <c r="J383" s="35"/>
      <c r="K383" s="33"/>
      <c r="L383" s="33"/>
      <c r="M383" s="34"/>
      <c r="N383" s="34"/>
      <c r="O383" s="34"/>
      <c r="P383" s="34" t="str">
        <f aca="false">IF(OR($D383="",$M383=""),"",IF(IFERROR(INDEX(Settings!$C$11:$C$19,MATCH($L383,Settings!$B$11:$B$19,0)),"Yes")="No","",MAX($M383,$O383)+Settings!$C$6))</f>
        <v/>
      </c>
      <c r="Q383" s="36" t="str">
        <f aca="true">IF($D383="","",IF(IFERROR(INDEX(Settings!$C$11:$C$19,MATCH($L383,Settings!$B$11:$B$19,0)),"Yes")="No","",IF($M383="",IF($N383="","",$N383-TODAY()),IF($P383="","",$P383-TODAY()))))</f>
        <v/>
      </c>
      <c r="R383" s="37" t="str">
        <f aca="true">IF($D383="","",IF(IFERROR(INDEX(Settings!$C$11:$C$19,MATCH($L383,Settings!$B$11:$B$19,0)),"Yes")="No","CLOSED",IF($M383="",IF($N383="","ON TRACK",IF($N383&lt;TODAY(),"OVERDUE",IF($N383-TODAY()&lt;=Settings!$C$5,"DUE SOON","ON TRACK"))),IF($P383&lt;=TODAY(),"FOLLOW-UP DUE","ON TRACK"))))</f>
        <v/>
      </c>
      <c r="S383" s="35"/>
      <c r="T383" s="35"/>
      <c r="U383" s="38"/>
      <c r="V383" s="34"/>
      <c r="W383" s="35" t="str">
        <f aca="false">IF(OR($R383="OVERDUE",$R383="DUE SOON",$R383="FOLLOW-UP DUE"),MAX(W$3:W382)+1,"")</f>
        <v/>
      </c>
    </row>
    <row r="384" customFormat="false" ht="15" hidden="false" customHeight="false" outlineLevel="0" collapsed="false">
      <c r="A384" s="33" t="str">
        <f aca="false">IF($D384="","","JOB-"&amp;TEXT(ROW()-3,"000"))</f>
        <v/>
      </c>
      <c r="B384" s="34"/>
      <c r="C384" s="35"/>
      <c r="D384" s="35"/>
      <c r="E384" s="35"/>
      <c r="F384" s="35"/>
      <c r="G384" s="33"/>
      <c r="H384" s="35"/>
      <c r="I384" s="35"/>
      <c r="J384" s="35"/>
      <c r="K384" s="33"/>
      <c r="L384" s="33"/>
      <c r="M384" s="34"/>
      <c r="N384" s="34"/>
      <c r="O384" s="34"/>
      <c r="P384" s="34" t="str">
        <f aca="false">IF(OR($D384="",$M384=""),"",IF(IFERROR(INDEX(Settings!$C$11:$C$19,MATCH($L384,Settings!$B$11:$B$19,0)),"Yes")="No","",MAX($M384,$O384)+Settings!$C$6))</f>
        <v/>
      </c>
      <c r="Q384" s="36" t="str">
        <f aca="true">IF($D384="","",IF(IFERROR(INDEX(Settings!$C$11:$C$19,MATCH($L384,Settings!$B$11:$B$19,0)),"Yes")="No","",IF($M384="",IF($N384="","",$N384-TODAY()),IF($P384="","",$P384-TODAY()))))</f>
        <v/>
      </c>
      <c r="R384" s="37" t="str">
        <f aca="true">IF($D384="","",IF(IFERROR(INDEX(Settings!$C$11:$C$19,MATCH($L384,Settings!$B$11:$B$19,0)),"Yes")="No","CLOSED",IF($M384="",IF($N384="","ON TRACK",IF($N384&lt;TODAY(),"OVERDUE",IF($N384-TODAY()&lt;=Settings!$C$5,"DUE SOON","ON TRACK"))),IF($P384&lt;=TODAY(),"FOLLOW-UP DUE","ON TRACK"))))</f>
        <v/>
      </c>
      <c r="S384" s="35"/>
      <c r="T384" s="35"/>
      <c r="U384" s="38"/>
      <c r="V384" s="34"/>
      <c r="W384" s="35" t="str">
        <f aca="false">IF(OR($R384="OVERDUE",$R384="DUE SOON",$R384="FOLLOW-UP DUE"),MAX(W$3:W383)+1,"")</f>
        <v/>
      </c>
    </row>
    <row r="385" customFormat="false" ht="15" hidden="false" customHeight="false" outlineLevel="0" collapsed="false">
      <c r="A385" s="33" t="str">
        <f aca="false">IF($D385="","","JOB-"&amp;TEXT(ROW()-3,"000"))</f>
        <v/>
      </c>
      <c r="B385" s="34"/>
      <c r="C385" s="35"/>
      <c r="D385" s="35"/>
      <c r="E385" s="35"/>
      <c r="F385" s="35"/>
      <c r="G385" s="33"/>
      <c r="H385" s="35"/>
      <c r="I385" s="35"/>
      <c r="J385" s="35"/>
      <c r="K385" s="33"/>
      <c r="L385" s="33"/>
      <c r="M385" s="34"/>
      <c r="N385" s="34"/>
      <c r="O385" s="34"/>
      <c r="P385" s="34" t="str">
        <f aca="false">IF(OR($D385="",$M385=""),"",IF(IFERROR(INDEX(Settings!$C$11:$C$19,MATCH($L385,Settings!$B$11:$B$19,0)),"Yes")="No","",MAX($M385,$O385)+Settings!$C$6))</f>
        <v/>
      </c>
      <c r="Q385" s="36" t="str">
        <f aca="true">IF($D385="","",IF(IFERROR(INDEX(Settings!$C$11:$C$19,MATCH($L385,Settings!$B$11:$B$19,0)),"Yes")="No","",IF($M385="",IF($N385="","",$N385-TODAY()),IF($P385="","",$P385-TODAY()))))</f>
        <v/>
      </c>
      <c r="R385" s="37" t="str">
        <f aca="true">IF($D385="","",IF(IFERROR(INDEX(Settings!$C$11:$C$19,MATCH($L385,Settings!$B$11:$B$19,0)),"Yes")="No","CLOSED",IF($M385="",IF($N385="","ON TRACK",IF($N385&lt;TODAY(),"OVERDUE",IF($N385-TODAY()&lt;=Settings!$C$5,"DUE SOON","ON TRACK"))),IF($P385&lt;=TODAY(),"FOLLOW-UP DUE","ON TRACK"))))</f>
        <v/>
      </c>
      <c r="S385" s="35"/>
      <c r="T385" s="35"/>
      <c r="U385" s="38"/>
      <c r="V385" s="34"/>
      <c r="W385" s="35" t="str">
        <f aca="false">IF(OR($R385="OVERDUE",$R385="DUE SOON",$R385="FOLLOW-UP DUE"),MAX(W$3:W384)+1,"")</f>
        <v/>
      </c>
    </row>
    <row r="386" customFormat="false" ht="15" hidden="false" customHeight="false" outlineLevel="0" collapsed="false">
      <c r="A386" s="33" t="str">
        <f aca="false">IF($D386="","","JOB-"&amp;TEXT(ROW()-3,"000"))</f>
        <v/>
      </c>
      <c r="B386" s="34"/>
      <c r="C386" s="35"/>
      <c r="D386" s="35"/>
      <c r="E386" s="35"/>
      <c r="F386" s="35"/>
      <c r="G386" s="33"/>
      <c r="H386" s="35"/>
      <c r="I386" s="35"/>
      <c r="J386" s="35"/>
      <c r="K386" s="33"/>
      <c r="L386" s="33"/>
      <c r="M386" s="34"/>
      <c r="N386" s="34"/>
      <c r="O386" s="34"/>
      <c r="P386" s="34" t="str">
        <f aca="false">IF(OR($D386="",$M386=""),"",IF(IFERROR(INDEX(Settings!$C$11:$C$19,MATCH($L386,Settings!$B$11:$B$19,0)),"Yes")="No","",MAX($M386,$O386)+Settings!$C$6))</f>
        <v/>
      </c>
      <c r="Q386" s="36" t="str">
        <f aca="true">IF($D386="","",IF(IFERROR(INDEX(Settings!$C$11:$C$19,MATCH($L386,Settings!$B$11:$B$19,0)),"Yes")="No","",IF($M386="",IF($N386="","",$N386-TODAY()),IF($P386="","",$P386-TODAY()))))</f>
        <v/>
      </c>
      <c r="R386" s="37" t="str">
        <f aca="true">IF($D386="","",IF(IFERROR(INDEX(Settings!$C$11:$C$19,MATCH($L386,Settings!$B$11:$B$19,0)),"Yes")="No","CLOSED",IF($M386="",IF($N386="","ON TRACK",IF($N386&lt;TODAY(),"OVERDUE",IF($N386-TODAY()&lt;=Settings!$C$5,"DUE SOON","ON TRACK"))),IF($P386&lt;=TODAY(),"FOLLOW-UP DUE","ON TRACK"))))</f>
        <v/>
      </c>
      <c r="S386" s="35"/>
      <c r="T386" s="35"/>
      <c r="U386" s="38"/>
      <c r="V386" s="34"/>
      <c r="W386" s="35" t="str">
        <f aca="false">IF(OR($R386="OVERDUE",$R386="DUE SOON",$R386="FOLLOW-UP DUE"),MAX(W$3:W385)+1,"")</f>
        <v/>
      </c>
    </row>
    <row r="387" customFormat="false" ht="15" hidden="false" customHeight="false" outlineLevel="0" collapsed="false">
      <c r="A387" s="33" t="str">
        <f aca="false">IF($D387="","","JOB-"&amp;TEXT(ROW()-3,"000"))</f>
        <v/>
      </c>
      <c r="B387" s="34"/>
      <c r="C387" s="35"/>
      <c r="D387" s="35"/>
      <c r="E387" s="35"/>
      <c r="F387" s="35"/>
      <c r="G387" s="33"/>
      <c r="H387" s="35"/>
      <c r="I387" s="35"/>
      <c r="J387" s="35"/>
      <c r="K387" s="33"/>
      <c r="L387" s="33"/>
      <c r="M387" s="34"/>
      <c r="N387" s="34"/>
      <c r="O387" s="34"/>
      <c r="P387" s="34" t="str">
        <f aca="false">IF(OR($D387="",$M387=""),"",IF(IFERROR(INDEX(Settings!$C$11:$C$19,MATCH($L387,Settings!$B$11:$B$19,0)),"Yes")="No","",MAX($M387,$O387)+Settings!$C$6))</f>
        <v/>
      </c>
      <c r="Q387" s="36" t="str">
        <f aca="true">IF($D387="","",IF(IFERROR(INDEX(Settings!$C$11:$C$19,MATCH($L387,Settings!$B$11:$B$19,0)),"Yes")="No","",IF($M387="",IF($N387="","",$N387-TODAY()),IF($P387="","",$P387-TODAY()))))</f>
        <v/>
      </c>
      <c r="R387" s="37" t="str">
        <f aca="true">IF($D387="","",IF(IFERROR(INDEX(Settings!$C$11:$C$19,MATCH($L387,Settings!$B$11:$B$19,0)),"Yes")="No","CLOSED",IF($M387="",IF($N387="","ON TRACK",IF($N387&lt;TODAY(),"OVERDUE",IF($N387-TODAY()&lt;=Settings!$C$5,"DUE SOON","ON TRACK"))),IF($P387&lt;=TODAY(),"FOLLOW-UP DUE","ON TRACK"))))</f>
        <v/>
      </c>
      <c r="S387" s="35"/>
      <c r="T387" s="35"/>
      <c r="U387" s="38"/>
      <c r="V387" s="34"/>
      <c r="W387" s="35" t="str">
        <f aca="false">IF(OR($R387="OVERDUE",$R387="DUE SOON",$R387="FOLLOW-UP DUE"),MAX(W$3:W386)+1,"")</f>
        <v/>
      </c>
    </row>
    <row r="388" customFormat="false" ht="15" hidden="false" customHeight="false" outlineLevel="0" collapsed="false">
      <c r="A388" s="33" t="str">
        <f aca="false">IF($D388="","","JOB-"&amp;TEXT(ROW()-3,"000"))</f>
        <v/>
      </c>
      <c r="B388" s="34"/>
      <c r="C388" s="35"/>
      <c r="D388" s="35"/>
      <c r="E388" s="35"/>
      <c r="F388" s="35"/>
      <c r="G388" s="33"/>
      <c r="H388" s="35"/>
      <c r="I388" s="35"/>
      <c r="J388" s="35"/>
      <c r="K388" s="33"/>
      <c r="L388" s="33"/>
      <c r="M388" s="34"/>
      <c r="N388" s="34"/>
      <c r="O388" s="34"/>
      <c r="P388" s="34" t="str">
        <f aca="false">IF(OR($D388="",$M388=""),"",IF(IFERROR(INDEX(Settings!$C$11:$C$19,MATCH($L388,Settings!$B$11:$B$19,0)),"Yes")="No","",MAX($M388,$O388)+Settings!$C$6))</f>
        <v/>
      </c>
      <c r="Q388" s="36" t="str">
        <f aca="true">IF($D388="","",IF(IFERROR(INDEX(Settings!$C$11:$C$19,MATCH($L388,Settings!$B$11:$B$19,0)),"Yes")="No","",IF($M388="",IF($N388="","",$N388-TODAY()),IF($P388="","",$P388-TODAY()))))</f>
        <v/>
      </c>
      <c r="R388" s="37" t="str">
        <f aca="true">IF($D388="","",IF(IFERROR(INDEX(Settings!$C$11:$C$19,MATCH($L388,Settings!$B$11:$B$19,0)),"Yes")="No","CLOSED",IF($M388="",IF($N388="","ON TRACK",IF($N388&lt;TODAY(),"OVERDUE",IF($N388-TODAY()&lt;=Settings!$C$5,"DUE SOON","ON TRACK"))),IF($P388&lt;=TODAY(),"FOLLOW-UP DUE","ON TRACK"))))</f>
        <v/>
      </c>
      <c r="S388" s="35"/>
      <c r="T388" s="35"/>
      <c r="U388" s="38"/>
      <c r="V388" s="34"/>
      <c r="W388" s="35" t="str">
        <f aca="false">IF(OR($R388="OVERDUE",$R388="DUE SOON",$R388="FOLLOW-UP DUE"),MAX(W$3:W387)+1,"")</f>
        <v/>
      </c>
    </row>
    <row r="389" customFormat="false" ht="15" hidden="false" customHeight="false" outlineLevel="0" collapsed="false">
      <c r="A389" s="33" t="str">
        <f aca="false">IF($D389="","","JOB-"&amp;TEXT(ROW()-3,"000"))</f>
        <v/>
      </c>
      <c r="B389" s="34"/>
      <c r="C389" s="35"/>
      <c r="D389" s="35"/>
      <c r="E389" s="35"/>
      <c r="F389" s="35"/>
      <c r="G389" s="33"/>
      <c r="H389" s="35"/>
      <c r="I389" s="35"/>
      <c r="J389" s="35"/>
      <c r="K389" s="33"/>
      <c r="L389" s="33"/>
      <c r="M389" s="34"/>
      <c r="N389" s="34"/>
      <c r="O389" s="34"/>
      <c r="P389" s="34" t="str">
        <f aca="false">IF(OR($D389="",$M389=""),"",IF(IFERROR(INDEX(Settings!$C$11:$C$19,MATCH($L389,Settings!$B$11:$B$19,0)),"Yes")="No","",MAX($M389,$O389)+Settings!$C$6))</f>
        <v/>
      </c>
      <c r="Q389" s="36" t="str">
        <f aca="true">IF($D389="","",IF(IFERROR(INDEX(Settings!$C$11:$C$19,MATCH($L389,Settings!$B$11:$B$19,0)),"Yes")="No","",IF($M389="",IF($N389="","",$N389-TODAY()),IF($P389="","",$P389-TODAY()))))</f>
        <v/>
      </c>
      <c r="R389" s="37" t="str">
        <f aca="true">IF($D389="","",IF(IFERROR(INDEX(Settings!$C$11:$C$19,MATCH($L389,Settings!$B$11:$B$19,0)),"Yes")="No","CLOSED",IF($M389="",IF($N389="","ON TRACK",IF($N389&lt;TODAY(),"OVERDUE",IF($N389-TODAY()&lt;=Settings!$C$5,"DUE SOON","ON TRACK"))),IF($P389&lt;=TODAY(),"FOLLOW-UP DUE","ON TRACK"))))</f>
        <v/>
      </c>
      <c r="S389" s="35"/>
      <c r="T389" s="35"/>
      <c r="U389" s="38"/>
      <c r="V389" s="34"/>
      <c r="W389" s="35" t="str">
        <f aca="false">IF(OR($R389="OVERDUE",$R389="DUE SOON",$R389="FOLLOW-UP DUE"),MAX(W$3:W388)+1,"")</f>
        <v/>
      </c>
    </row>
    <row r="390" customFormat="false" ht="15" hidden="false" customHeight="false" outlineLevel="0" collapsed="false">
      <c r="A390" s="33" t="str">
        <f aca="false">IF($D390="","","JOB-"&amp;TEXT(ROW()-3,"000"))</f>
        <v/>
      </c>
      <c r="B390" s="34"/>
      <c r="C390" s="35"/>
      <c r="D390" s="35"/>
      <c r="E390" s="35"/>
      <c r="F390" s="35"/>
      <c r="G390" s="33"/>
      <c r="H390" s="35"/>
      <c r="I390" s="35"/>
      <c r="J390" s="35"/>
      <c r="K390" s="33"/>
      <c r="L390" s="33"/>
      <c r="M390" s="34"/>
      <c r="N390" s="34"/>
      <c r="O390" s="34"/>
      <c r="P390" s="34" t="str">
        <f aca="false">IF(OR($D390="",$M390=""),"",IF(IFERROR(INDEX(Settings!$C$11:$C$19,MATCH($L390,Settings!$B$11:$B$19,0)),"Yes")="No","",MAX($M390,$O390)+Settings!$C$6))</f>
        <v/>
      </c>
      <c r="Q390" s="36" t="str">
        <f aca="true">IF($D390="","",IF(IFERROR(INDEX(Settings!$C$11:$C$19,MATCH($L390,Settings!$B$11:$B$19,0)),"Yes")="No","",IF($M390="",IF($N390="","",$N390-TODAY()),IF($P390="","",$P390-TODAY()))))</f>
        <v/>
      </c>
      <c r="R390" s="37" t="str">
        <f aca="true">IF($D390="","",IF(IFERROR(INDEX(Settings!$C$11:$C$19,MATCH($L390,Settings!$B$11:$B$19,0)),"Yes")="No","CLOSED",IF($M390="",IF($N390="","ON TRACK",IF($N390&lt;TODAY(),"OVERDUE",IF($N390-TODAY()&lt;=Settings!$C$5,"DUE SOON","ON TRACK"))),IF($P390&lt;=TODAY(),"FOLLOW-UP DUE","ON TRACK"))))</f>
        <v/>
      </c>
      <c r="S390" s="35"/>
      <c r="T390" s="35"/>
      <c r="U390" s="38"/>
      <c r="V390" s="34"/>
      <c r="W390" s="35" t="str">
        <f aca="false">IF(OR($R390="OVERDUE",$R390="DUE SOON",$R390="FOLLOW-UP DUE"),MAX(W$3:W389)+1,"")</f>
        <v/>
      </c>
    </row>
    <row r="391" customFormat="false" ht="15" hidden="false" customHeight="false" outlineLevel="0" collapsed="false">
      <c r="A391" s="33" t="str">
        <f aca="false">IF($D391="","","JOB-"&amp;TEXT(ROW()-3,"000"))</f>
        <v/>
      </c>
      <c r="B391" s="34"/>
      <c r="C391" s="35"/>
      <c r="D391" s="35"/>
      <c r="E391" s="35"/>
      <c r="F391" s="35"/>
      <c r="G391" s="33"/>
      <c r="H391" s="35"/>
      <c r="I391" s="35"/>
      <c r="J391" s="35"/>
      <c r="K391" s="33"/>
      <c r="L391" s="33"/>
      <c r="M391" s="34"/>
      <c r="N391" s="34"/>
      <c r="O391" s="34"/>
      <c r="P391" s="34" t="str">
        <f aca="false">IF(OR($D391="",$M391=""),"",IF(IFERROR(INDEX(Settings!$C$11:$C$19,MATCH($L391,Settings!$B$11:$B$19,0)),"Yes")="No","",MAX($M391,$O391)+Settings!$C$6))</f>
        <v/>
      </c>
      <c r="Q391" s="36" t="str">
        <f aca="true">IF($D391="","",IF(IFERROR(INDEX(Settings!$C$11:$C$19,MATCH($L391,Settings!$B$11:$B$19,0)),"Yes")="No","",IF($M391="",IF($N391="","",$N391-TODAY()),IF($P391="","",$P391-TODAY()))))</f>
        <v/>
      </c>
      <c r="R391" s="37" t="str">
        <f aca="true">IF($D391="","",IF(IFERROR(INDEX(Settings!$C$11:$C$19,MATCH($L391,Settings!$B$11:$B$19,0)),"Yes")="No","CLOSED",IF($M391="",IF($N391="","ON TRACK",IF($N391&lt;TODAY(),"OVERDUE",IF($N391-TODAY()&lt;=Settings!$C$5,"DUE SOON","ON TRACK"))),IF($P391&lt;=TODAY(),"FOLLOW-UP DUE","ON TRACK"))))</f>
        <v/>
      </c>
      <c r="S391" s="35"/>
      <c r="T391" s="35"/>
      <c r="U391" s="38"/>
      <c r="V391" s="34"/>
      <c r="W391" s="35" t="str">
        <f aca="false">IF(OR($R391="OVERDUE",$R391="DUE SOON",$R391="FOLLOW-UP DUE"),MAX(W$3:W390)+1,"")</f>
        <v/>
      </c>
    </row>
    <row r="392" customFormat="false" ht="15" hidden="false" customHeight="false" outlineLevel="0" collapsed="false">
      <c r="A392" s="33" t="str">
        <f aca="false">IF($D392="","","JOB-"&amp;TEXT(ROW()-3,"000"))</f>
        <v/>
      </c>
      <c r="B392" s="34"/>
      <c r="C392" s="35"/>
      <c r="D392" s="35"/>
      <c r="E392" s="35"/>
      <c r="F392" s="35"/>
      <c r="G392" s="33"/>
      <c r="H392" s="35"/>
      <c r="I392" s="35"/>
      <c r="J392" s="35"/>
      <c r="K392" s="33"/>
      <c r="L392" s="33"/>
      <c r="M392" s="34"/>
      <c r="N392" s="34"/>
      <c r="O392" s="34"/>
      <c r="P392" s="34" t="str">
        <f aca="false">IF(OR($D392="",$M392=""),"",IF(IFERROR(INDEX(Settings!$C$11:$C$19,MATCH($L392,Settings!$B$11:$B$19,0)),"Yes")="No","",MAX($M392,$O392)+Settings!$C$6))</f>
        <v/>
      </c>
      <c r="Q392" s="36" t="str">
        <f aca="true">IF($D392="","",IF(IFERROR(INDEX(Settings!$C$11:$C$19,MATCH($L392,Settings!$B$11:$B$19,0)),"Yes")="No","",IF($M392="",IF($N392="","",$N392-TODAY()),IF($P392="","",$P392-TODAY()))))</f>
        <v/>
      </c>
      <c r="R392" s="37" t="str">
        <f aca="true">IF($D392="","",IF(IFERROR(INDEX(Settings!$C$11:$C$19,MATCH($L392,Settings!$B$11:$B$19,0)),"Yes")="No","CLOSED",IF($M392="",IF($N392="","ON TRACK",IF($N392&lt;TODAY(),"OVERDUE",IF($N392-TODAY()&lt;=Settings!$C$5,"DUE SOON","ON TRACK"))),IF($P392&lt;=TODAY(),"FOLLOW-UP DUE","ON TRACK"))))</f>
        <v/>
      </c>
      <c r="S392" s="35"/>
      <c r="T392" s="35"/>
      <c r="U392" s="38"/>
      <c r="V392" s="34"/>
      <c r="W392" s="35" t="str">
        <f aca="false">IF(OR($R392="OVERDUE",$R392="DUE SOON",$R392="FOLLOW-UP DUE"),MAX(W$3:W391)+1,"")</f>
        <v/>
      </c>
    </row>
    <row r="393" customFormat="false" ht="15" hidden="false" customHeight="false" outlineLevel="0" collapsed="false">
      <c r="A393" s="33" t="str">
        <f aca="false">IF($D393="","","JOB-"&amp;TEXT(ROW()-3,"000"))</f>
        <v/>
      </c>
      <c r="B393" s="34"/>
      <c r="C393" s="35"/>
      <c r="D393" s="35"/>
      <c r="E393" s="35"/>
      <c r="F393" s="35"/>
      <c r="G393" s="33"/>
      <c r="H393" s="35"/>
      <c r="I393" s="35"/>
      <c r="J393" s="35"/>
      <c r="K393" s="33"/>
      <c r="L393" s="33"/>
      <c r="M393" s="34"/>
      <c r="N393" s="34"/>
      <c r="O393" s="34"/>
      <c r="P393" s="34" t="str">
        <f aca="false">IF(OR($D393="",$M393=""),"",IF(IFERROR(INDEX(Settings!$C$11:$C$19,MATCH($L393,Settings!$B$11:$B$19,0)),"Yes")="No","",MAX($M393,$O393)+Settings!$C$6))</f>
        <v/>
      </c>
      <c r="Q393" s="36" t="str">
        <f aca="true">IF($D393="","",IF(IFERROR(INDEX(Settings!$C$11:$C$19,MATCH($L393,Settings!$B$11:$B$19,0)),"Yes")="No","",IF($M393="",IF($N393="","",$N393-TODAY()),IF($P393="","",$P393-TODAY()))))</f>
        <v/>
      </c>
      <c r="R393" s="37" t="str">
        <f aca="true">IF($D393="","",IF(IFERROR(INDEX(Settings!$C$11:$C$19,MATCH($L393,Settings!$B$11:$B$19,0)),"Yes")="No","CLOSED",IF($M393="",IF($N393="","ON TRACK",IF($N393&lt;TODAY(),"OVERDUE",IF($N393-TODAY()&lt;=Settings!$C$5,"DUE SOON","ON TRACK"))),IF($P393&lt;=TODAY(),"FOLLOW-UP DUE","ON TRACK"))))</f>
        <v/>
      </c>
      <c r="S393" s="35"/>
      <c r="T393" s="35"/>
      <c r="U393" s="38"/>
      <c r="V393" s="34"/>
      <c r="W393" s="35" t="str">
        <f aca="false">IF(OR($R393="OVERDUE",$R393="DUE SOON",$R393="FOLLOW-UP DUE"),MAX(W$3:W392)+1,"")</f>
        <v/>
      </c>
    </row>
    <row r="394" customFormat="false" ht="15" hidden="false" customHeight="false" outlineLevel="0" collapsed="false">
      <c r="A394" s="33" t="str">
        <f aca="false">IF($D394="","","JOB-"&amp;TEXT(ROW()-3,"000"))</f>
        <v/>
      </c>
      <c r="B394" s="34"/>
      <c r="C394" s="35"/>
      <c r="D394" s="35"/>
      <c r="E394" s="35"/>
      <c r="F394" s="35"/>
      <c r="G394" s="33"/>
      <c r="H394" s="35"/>
      <c r="I394" s="35"/>
      <c r="J394" s="35"/>
      <c r="K394" s="33"/>
      <c r="L394" s="33"/>
      <c r="M394" s="34"/>
      <c r="N394" s="34"/>
      <c r="O394" s="34"/>
      <c r="P394" s="34" t="str">
        <f aca="false">IF(OR($D394="",$M394=""),"",IF(IFERROR(INDEX(Settings!$C$11:$C$19,MATCH($L394,Settings!$B$11:$B$19,0)),"Yes")="No","",MAX($M394,$O394)+Settings!$C$6))</f>
        <v/>
      </c>
      <c r="Q394" s="36" t="str">
        <f aca="true">IF($D394="","",IF(IFERROR(INDEX(Settings!$C$11:$C$19,MATCH($L394,Settings!$B$11:$B$19,0)),"Yes")="No","",IF($M394="",IF($N394="","",$N394-TODAY()),IF($P394="","",$P394-TODAY()))))</f>
        <v/>
      </c>
      <c r="R394" s="37" t="str">
        <f aca="true">IF($D394="","",IF(IFERROR(INDEX(Settings!$C$11:$C$19,MATCH($L394,Settings!$B$11:$B$19,0)),"Yes")="No","CLOSED",IF($M394="",IF($N394="","ON TRACK",IF($N394&lt;TODAY(),"OVERDUE",IF($N394-TODAY()&lt;=Settings!$C$5,"DUE SOON","ON TRACK"))),IF($P394&lt;=TODAY(),"FOLLOW-UP DUE","ON TRACK"))))</f>
        <v/>
      </c>
      <c r="S394" s="35"/>
      <c r="T394" s="35"/>
      <c r="U394" s="38"/>
      <c r="V394" s="34"/>
      <c r="W394" s="35" t="str">
        <f aca="false">IF(OR($R394="OVERDUE",$R394="DUE SOON",$R394="FOLLOW-UP DUE"),MAX(W$3:W393)+1,"")</f>
        <v/>
      </c>
    </row>
    <row r="395" customFormat="false" ht="15" hidden="false" customHeight="false" outlineLevel="0" collapsed="false">
      <c r="A395" s="33" t="str">
        <f aca="false">IF($D395="","","JOB-"&amp;TEXT(ROW()-3,"000"))</f>
        <v/>
      </c>
      <c r="B395" s="34"/>
      <c r="C395" s="35"/>
      <c r="D395" s="35"/>
      <c r="E395" s="35"/>
      <c r="F395" s="35"/>
      <c r="G395" s="33"/>
      <c r="H395" s="35"/>
      <c r="I395" s="35"/>
      <c r="J395" s="35"/>
      <c r="K395" s="33"/>
      <c r="L395" s="33"/>
      <c r="M395" s="34"/>
      <c r="N395" s="34"/>
      <c r="O395" s="34"/>
      <c r="P395" s="34" t="str">
        <f aca="false">IF(OR($D395="",$M395=""),"",IF(IFERROR(INDEX(Settings!$C$11:$C$19,MATCH($L395,Settings!$B$11:$B$19,0)),"Yes")="No","",MAX($M395,$O395)+Settings!$C$6))</f>
        <v/>
      </c>
      <c r="Q395" s="36" t="str">
        <f aca="true">IF($D395="","",IF(IFERROR(INDEX(Settings!$C$11:$C$19,MATCH($L395,Settings!$B$11:$B$19,0)),"Yes")="No","",IF($M395="",IF($N395="","",$N395-TODAY()),IF($P395="","",$P395-TODAY()))))</f>
        <v/>
      </c>
      <c r="R395" s="37" t="str">
        <f aca="true">IF($D395="","",IF(IFERROR(INDEX(Settings!$C$11:$C$19,MATCH($L395,Settings!$B$11:$B$19,0)),"Yes")="No","CLOSED",IF($M395="",IF($N395="","ON TRACK",IF($N395&lt;TODAY(),"OVERDUE",IF($N395-TODAY()&lt;=Settings!$C$5,"DUE SOON","ON TRACK"))),IF($P395&lt;=TODAY(),"FOLLOW-UP DUE","ON TRACK"))))</f>
        <v/>
      </c>
      <c r="S395" s="35"/>
      <c r="T395" s="35"/>
      <c r="U395" s="38"/>
      <c r="V395" s="34"/>
      <c r="W395" s="35" t="str">
        <f aca="false">IF(OR($R395="OVERDUE",$R395="DUE SOON",$R395="FOLLOW-UP DUE"),MAX(W$3:W394)+1,"")</f>
        <v/>
      </c>
    </row>
    <row r="396" customFormat="false" ht="15" hidden="false" customHeight="false" outlineLevel="0" collapsed="false">
      <c r="A396" s="33" t="str">
        <f aca="false">IF($D396="","","JOB-"&amp;TEXT(ROW()-3,"000"))</f>
        <v/>
      </c>
      <c r="B396" s="34"/>
      <c r="C396" s="35"/>
      <c r="D396" s="35"/>
      <c r="E396" s="35"/>
      <c r="F396" s="35"/>
      <c r="G396" s="33"/>
      <c r="H396" s="35"/>
      <c r="I396" s="35"/>
      <c r="J396" s="35"/>
      <c r="K396" s="33"/>
      <c r="L396" s="33"/>
      <c r="M396" s="34"/>
      <c r="N396" s="34"/>
      <c r="O396" s="34"/>
      <c r="P396" s="34" t="str">
        <f aca="false">IF(OR($D396="",$M396=""),"",IF(IFERROR(INDEX(Settings!$C$11:$C$19,MATCH($L396,Settings!$B$11:$B$19,0)),"Yes")="No","",MAX($M396,$O396)+Settings!$C$6))</f>
        <v/>
      </c>
      <c r="Q396" s="36" t="str">
        <f aca="true">IF($D396="","",IF(IFERROR(INDEX(Settings!$C$11:$C$19,MATCH($L396,Settings!$B$11:$B$19,0)),"Yes")="No","",IF($M396="",IF($N396="","",$N396-TODAY()),IF($P396="","",$P396-TODAY()))))</f>
        <v/>
      </c>
      <c r="R396" s="37" t="str">
        <f aca="true">IF($D396="","",IF(IFERROR(INDEX(Settings!$C$11:$C$19,MATCH($L396,Settings!$B$11:$B$19,0)),"Yes")="No","CLOSED",IF($M396="",IF($N396="","ON TRACK",IF($N396&lt;TODAY(),"OVERDUE",IF($N396-TODAY()&lt;=Settings!$C$5,"DUE SOON","ON TRACK"))),IF($P396&lt;=TODAY(),"FOLLOW-UP DUE","ON TRACK"))))</f>
        <v/>
      </c>
      <c r="S396" s="35"/>
      <c r="T396" s="35"/>
      <c r="U396" s="38"/>
      <c r="V396" s="34"/>
      <c r="W396" s="35" t="str">
        <f aca="false">IF(OR($R396="OVERDUE",$R396="DUE SOON",$R396="FOLLOW-UP DUE"),MAX(W$3:W395)+1,"")</f>
        <v/>
      </c>
    </row>
    <row r="397" customFormat="false" ht="15" hidden="false" customHeight="false" outlineLevel="0" collapsed="false">
      <c r="A397" s="33" t="str">
        <f aca="false">IF($D397="","","JOB-"&amp;TEXT(ROW()-3,"000"))</f>
        <v/>
      </c>
      <c r="B397" s="34"/>
      <c r="C397" s="35"/>
      <c r="D397" s="35"/>
      <c r="E397" s="35"/>
      <c r="F397" s="35"/>
      <c r="G397" s="33"/>
      <c r="H397" s="35"/>
      <c r="I397" s="35"/>
      <c r="J397" s="35"/>
      <c r="K397" s="33"/>
      <c r="L397" s="33"/>
      <c r="M397" s="34"/>
      <c r="N397" s="34"/>
      <c r="O397" s="34"/>
      <c r="P397" s="34" t="str">
        <f aca="false">IF(OR($D397="",$M397=""),"",IF(IFERROR(INDEX(Settings!$C$11:$C$19,MATCH($L397,Settings!$B$11:$B$19,0)),"Yes")="No","",MAX($M397,$O397)+Settings!$C$6))</f>
        <v/>
      </c>
      <c r="Q397" s="36" t="str">
        <f aca="true">IF($D397="","",IF(IFERROR(INDEX(Settings!$C$11:$C$19,MATCH($L397,Settings!$B$11:$B$19,0)),"Yes")="No","",IF($M397="",IF($N397="","",$N397-TODAY()),IF($P397="","",$P397-TODAY()))))</f>
        <v/>
      </c>
      <c r="R397" s="37" t="str">
        <f aca="true">IF($D397="","",IF(IFERROR(INDEX(Settings!$C$11:$C$19,MATCH($L397,Settings!$B$11:$B$19,0)),"Yes")="No","CLOSED",IF($M397="",IF($N397="","ON TRACK",IF($N397&lt;TODAY(),"OVERDUE",IF($N397-TODAY()&lt;=Settings!$C$5,"DUE SOON","ON TRACK"))),IF($P397&lt;=TODAY(),"FOLLOW-UP DUE","ON TRACK"))))</f>
        <v/>
      </c>
      <c r="S397" s="35"/>
      <c r="T397" s="35"/>
      <c r="U397" s="38"/>
      <c r="V397" s="34"/>
      <c r="W397" s="35" t="str">
        <f aca="false">IF(OR($R397="OVERDUE",$R397="DUE SOON",$R397="FOLLOW-UP DUE"),MAX(W$3:W396)+1,"")</f>
        <v/>
      </c>
    </row>
    <row r="398" customFormat="false" ht="15" hidden="false" customHeight="false" outlineLevel="0" collapsed="false">
      <c r="A398" s="33" t="str">
        <f aca="false">IF($D398="","","JOB-"&amp;TEXT(ROW()-3,"000"))</f>
        <v/>
      </c>
      <c r="B398" s="34"/>
      <c r="C398" s="35"/>
      <c r="D398" s="35"/>
      <c r="E398" s="35"/>
      <c r="F398" s="35"/>
      <c r="G398" s="33"/>
      <c r="H398" s="35"/>
      <c r="I398" s="35"/>
      <c r="J398" s="35"/>
      <c r="K398" s="33"/>
      <c r="L398" s="33"/>
      <c r="M398" s="34"/>
      <c r="N398" s="34"/>
      <c r="O398" s="34"/>
      <c r="P398" s="34" t="str">
        <f aca="false">IF(OR($D398="",$M398=""),"",IF(IFERROR(INDEX(Settings!$C$11:$C$19,MATCH($L398,Settings!$B$11:$B$19,0)),"Yes")="No","",MAX($M398,$O398)+Settings!$C$6))</f>
        <v/>
      </c>
      <c r="Q398" s="36" t="str">
        <f aca="true">IF($D398="","",IF(IFERROR(INDEX(Settings!$C$11:$C$19,MATCH($L398,Settings!$B$11:$B$19,0)),"Yes")="No","",IF($M398="",IF($N398="","",$N398-TODAY()),IF($P398="","",$P398-TODAY()))))</f>
        <v/>
      </c>
      <c r="R398" s="37" t="str">
        <f aca="true">IF($D398="","",IF(IFERROR(INDEX(Settings!$C$11:$C$19,MATCH($L398,Settings!$B$11:$B$19,0)),"Yes")="No","CLOSED",IF($M398="",IF($N398="","ON TRACK",IF($N398&lt;TODAY(),"OVERDUE",IF($N398-TODAY()&lt;=Settings!$C$5,"DUE SOON","ON TRACK"))),IF($P398&lt;=TODAY(),"FOLLOW-UP DUE","ON TRACK"))))</f>
        <v/>
      </c>
      <c r="S398" s="35"/>
      <c r="T398" s="35"/>
      <c r="U398" s="38"/>
      <c r="V398" s="34"/>
      <c r="W398" s="35" t="str">
        <f aca="false">IF(OR($R398="OVERDUE",$R398="DUE SOON",$R398="FOLLOW-UP DUE"),MAX(W$3:W397)+1,"")</f>
        <v/>
      </c>
    </row>
    <row r="399" customFormat="false" ht="15" hidden="false" customHeight="false" outlineLevel="0" collapsed="false">
      <c r="A399" s="33" t="str">
        <f aca="false">IF($D399="","","JOB-"&amp;TEXT(ROW()-3,"000"))</f>
        <v/>
      </c>
      <c r="B399" s="34"/>
      <c r="C399" s="35"/>
      <c r="D399" s="35"/>
      <c r="E399" s="35"/>
      <c r="F399" s="35"/>
      <c r="G399" s="33"/>
      <c r="H399" s="35"/>
      <c r="I399" s="35"/>
      <c r="J399" s="35"/>
      <c r="K399" s="33"/>
      <c r="L399" s="33"/>
      <c r="M399" s="34"/>
      <c r="N399" s="34"/>
      <c r="O399" s="34"/>
      <c r="P399" s="34" t="str">
        <f aca="false">IF(OR($D399="",$M399=""),"",IF(IFERROR(INDEX(Settings!$C$11:$C$19,MATCH($L399,Settings!$B$11:$B$19,0)),"Yes")="No","",MAX($M399,$O399)+Settings!$C$6))</f>
        <v/>
      </c>
      <c r="Q399" s="36" t="str">
        <f aca="true">IF($D399="","",IF(IFERROR(INDEX(Settings!$C$11:$C$19,MATCH($L399,Settings!$B$11:$B$19,0)),"Yes")="No","",IF($M399="",IF($N399="","",$N399-TODAY()),IF($P399="","",$P399-TODAY()))))</f>
        <v/>
      </c>
      <c r="R399" s="37" t="str">
        <f aca="true">IF($D399="","",IF(IFERROR(INDEX(Settings!$C$11:$C$19,MATCH($L399,Settings!$B$11:$B$19,0)),"Yes")="No","CLOSED",IF($M399="",IF($N399="","ON TRACK",IF($N399&lt;TODAY(),"OVERDUE",IF($N399-TODAY()&lt;=Settings!$C$5,"DUE SOON","ON TRACK"))),IF($P399&lt;=TODAY(),"FOLLOW-UP DUE","ON TRACK"))))</f>
        <v/>
      </c>
      <c r="S399" s="35"/>
      <c r="T399" s="35"/>
      <c r="U399" s="38"/>
      <c r="V399" s="34"/>
      <c r="W399" s="35" t="str">
        <f aca="false">IF(OR($R399="OVERDUE",$R399="DUE SOON",$R399="FOLLOW-UP DUE"),MAX(W$3:W398)+1,"")</f>
        <v/>
      </c>
    </row>
    <row r="400" customFormat="false" ht="15" hidden="false" customHeight="false" outlineLevel="0" collapsed="false">
      <c r="A400" s="33" t="str">
        <f aca="false">IF($D400="","","JOB-"&amp;TEXT(ROW()-3,"000"))</f>
        <v/>
      </c>
      <c r="B400" s="34"/>
      <c r="C400" s="35"/>
      <c r="D400" s="35"/>
      <c r="E400" s="35"/>
      <c r="F400" s="35"/>
      <c r="G400" s="33"/>
      <c r="H400" s="35"/>
      <c r="I400" s="35"/>
      <c r="J400" s="35"/>
      <c r="K400" s="33"/>
      <c r="L400" s="33"/>
      <c r="M400" s="34"/>
      <c r="N400" s="34"/>
      <c r="O400" s="34"/>
      <c r="P400" s="34" t="str">
        <f aca="false">IF(OR($D400="",$M400=""),"",IF(IFERROR(INDEX(Settings!$C$11:$C$19,MATCH($L400,Settings!$B$11:$B$19,0)),"Yes")="No","",MAX($M400,$O400)+Settings!$C$6))</f>
        <v/>
      </c>
      <c r="Q400" s="36" t="str">
        <f aca="true">IF($D400="","",IF(IFERROR(INDEX(Settings!$C$11:$C$19,MATCH($L400,Settings!$B$11:$B$19,0)),"Yes")="No","",IF($M400="",IF($N400="","",$N400-TODAY()),IF($P400="","",$P400-TODAY()))))</f>
        <v/>
      </c>
      <c r="R400" s="37" t="str">
        <f aca="true">IF($D400="","",IF(IFERROR(INDEX(Settings!$C$11:$C$19,MATCH($L400,Settings!$B$11:$B$19,0)),"Yes")="No","CLOSED",IF($M400="",IF($N400="","ON TRACK",IF($N400&lt;TODAY(),"OVERDUE",IF($N400-TODAY()&lt;=Settings!$C$5,"DUE SOON","ON TRACK"))),IF($P400&lt;=TODAY(),"FOLLOW-UP DUE","ON TRACK"))))</f>
        <v/>
      </c>
      <c r="S400" s="35"/>
      <c r="T400" s="35"/>
      <c r="U400" s="38"/>
      <c r="V400" s="34"/>
      <c r="W400" s="35" t="str">
        <f aca="false">IF(OR($R400="OVERDUE",$R400="DUE SOON",$R400="FOLLOW-UP DUE"),MAX(W$3:W399)+1,"")</f>
        <v/>
      </c>
    </row>
    <row r="401" customFormat="false" ht="15" hidden="false" customHeight="false" outlineLevel="0" collapsed="false">
      <c r="A401" s="33" t="str">
        <f aca="false">IF($D401="","","JOB-"&amp;TEXT(ROW()-3,"000"))</f>
        <v/>
      </c>
      <c r="B401" s="34"/>
      <c r="C401" s="35"/>
      <c r="D401" s="35"/>
      <c r="E401" s="35"/>
      <c r="F401" s="35"/>
      <c r="G401" s="33"/>
      <c r="H401" s="35"/>
      <c r="I401" s="35"/>
      <c r="J401" s="35"/>
      <c r="K401" s="33"/>
      <c r="L401" s="33"/>
      <c r="M401" s="34"/>
      <c r="N401" s="34"/>
      <c r="O401" s="34"/>
      <c r="P401" s="34" t="str">
        <f aca="false">IF(OR($D401="",$M401=""),"",IF(IFERROR(INDEX(Settings!$C$11:$C$19,MATCH($L401,Settings!$B$11:$B$19,0)),"Yes")="No","",MAX($M401,$O401)+Settings!$C$6))</f>
        <v/>
      </c>
      <c r="Q401" s="36" t="str">
        <f aca="true">IF($D401="","",IF(IFERROR(INDEX(Settings!$C$11:$C$19,MATCH($L401,Settings!$B$11:$B$19,0)),"Yes")="No","",IF($M401="",IF($N401="","",$N401-TODAY()),IF($P401="","",$P401-TODAY()))))</f>
        <v/>
      </c>
      <c r="R401" s="37" t="str">
        <f aca="true">IF($D401="","",IF(IFERROR(INDEX(Settings!$C$11:$C$19,MATCH($L401,Settings!$B$11:$B$19,0)),"Yes")="No","CLOSED",IF($M401="",IF($N401="","ON TRACK",IF($N401&lt;TODAY(),"OVERDUE",IF($N401-TODAY()&lt;=Settings!$C$5,"DUE SOON","ON TRACK"))),IF($P401&lt;=TODAY(),"FOLLOW-UP DUE","ON TRACK"))))</f>
        <v/>
      </c>
      <c r="S401" s="35"/>
      <c r="T401" s="35"/>
      <c r="U401" s="38"/>
      <c r="V401" s="34"/>
      <c r="W401" s="35" t="str">
        <f aca="false">IF(OR($R401="OVERDUE",$R401="DUE SOON",$R401="FOLLOW-UP DUE"),MAX(W$3:W400)+1,"")</f>
        <v/>
      </c>
    </row>
    <row r="402" customFormat="false" ht="15" hidden="false" customHeight="false" outlineLevel="0" collapsed="false">
      <c r="A402" s="33" t="str">
        <f aca="false">IF($D402="","","JOB-"&amp;TEXT(ROW()-3,"000"))</f>
        <v/>
      </c>
      <c r="B402" s="34"/>
      <c r="C402" s="35"/>
      <c r="D402" s="35"/>
      <c r="E402" s="35"/>
      <c r="F402" s="35"/>
      <c r="G402" s="33"/>
      <c r="H402" s="35"/>
      <c r="I402" s="35"/>
      <c r="J402" s="35"/>
      <c r="K402" s="33"/>
      <c r="L402" s="33"/>
      <c r="M402" s="34"/>
      <c r="N402" s="34"/>
      <c r="O402" s="34"/>
      <c r="P402" s="34" t="str">
        <f aca="false">IF(OR($D402="",$M402=""),"",IF(IFERROR(INDEX(Settings!$C$11:$C$19,MATCH($L402,Settings!$B$11:$B$19,0)),"Yes")="No","",MAX($M402,$O402)+Settings!$C$6))</f>
        <v/>
      </c>
      <c r="Q402" s="36" t="str">
        <f aca="true">IF($D402="","",IF(IFERROR(INDEX(Settings!$C$11:$C$19,MATCH($L402,Settings!$B$11:$B$19,0)),"Yes")="No","",IF($M402="",IF($N402="","",$N402-TODAY()),IF($P402="","",$P402-TODAY()))))</f>
        <v/>
      </c>
      <c r="R402" s="37" t="str">
        <f aca="true">IF($D402="","",IF(IFERROR(INDEX(Settings!$C$11:$C$19,MATCH($L402,Settings!$B$11:$B$19,0)),"Yes")="No","CLOSED",IF($M402="",IF($N402="","ON TRACK",IF($N402&lt;TODAY(),"OVERDUE",IF($N402-TODAY()&lt;=Settings!$C$5,"DUE SOON","ON TRACK"))),IF($P402&lt;=TODAY(),"FOLLOW-UP DUE","ON TRACK"))))</f>
        <v/>
      </c>
      <c r="S402" s="35"/>
      <c r="T402" s="35"/>
      <c r="U402" s="38"/>
      <c r="V402" s="34"/>
      <c r="W402" s="35" t="str">
        <f aca="false">IF(OR($R402="OVERDUE",$R402="DUE SOON",$R402="FOLLOW-UP DUE"),MAX(W$3:W401)+1,"")</f>
        <v/>
      </c>
    </row>
    <row r="403" customFormat="false" ht="15" hidden="false" customHeight="false" outlineLevel="0" collapsed="false">
      <c r="A403" s="33" t="str">
        <f aca="false">IF($D403="","","JOB-"&amp;TEXT(ROW()-3,"000"))</f>
        <v/>
      </c>
      <c r="B403" s="34"/>
      <c r="C403" s="35"/>
      <c r="D403" s="35"/>
      <c r="E403" s="35"/>
      <c r="F403" s="35"/>
      <c r="G403" s="33"/>
      <c r="H403" s="35"/>
      <c r="I403" s="35"/>
      <c r="J403" s="35"/>
      <c r="K403" s="33"/>
      <c r="L403" s="33"/>
      <c r="M403" s="34"/>
      <c r="N403" s="34"/>
      <c r="O403" s="34"/>
      <c r="P403" s="34" t="str">
        <f aca="false">IF(OR($D403="",$M403=""),"",IF(IFERROR(INDEX(Settings!$C$11:$C$19,MATCH($L403,Settings!$B$11:$B$19,0)),"Yes")="No","",MAX($M403,$O403)+Settings!$C$6))</f>
        <v/>
      </c>
      <c r="Q403" s="36" t="str">
        <f aca="true">IF($D403="","",IF(IFERROR(INDEX(Settings!$C$11:$C$19,MATCH($L403,Settings!$B$11:$B$19,0)),"Yes")="No","",IF($M403="",IF($N403="","",$N403-TODAY()),IF($P403="","",$P403-TODAY()))))</f>
        <v/>
      </c>
      <c r="R403" s="37" t="str">
        <f aca="true">IF($D403="","",IF(IFERROR(INDEX(Settings!$C$11:$C$19,MATCH($L403,Settings!$B$11:$B$19,0)),"Yes")="No","CLOSED",IF($M403="",IF($N403="","ON TRACK",IF($N403&lt;TODAY(),"OVERDUE",IF($N403-TODAY()&lt;=Settings!$C$5,"DUE SOON","ON TRACK"))),IF($P403&lt;=TODAY(),"FOLLOW-UP DUE","ON TRACK"))))</f>
        <v/>
      </c>
      <c r="S403" s="35"/>
      <c r="T403" s="35"/>
      <c r="U403" s="38"/>
      <c r="V403" s="34"/>
      <c r="W403" s="35" t="str">
        <f aca="false">IF(OR($R403="OVERDUE",$R403="DUE SOON",$R403="FOLLOW-UP DUE"),MAX(W$3:W402)+1,"")</f>
        <v/>
      </c>
    </row>
    <row r="404" customFormat="false" ht="15" hidden="false" customHeight="false" outlineLevel="0" collapsed="false">
      <c r="A404" s="33" t="str">
        <f aca="false">IF($D404="","","JOB-"&amp;TEXT(ROW()-3,"000"))</f>
        <v/>
      </c>
      <c r="B404" s="34"/>
      <c r="C404" s="35"/>
      <c r="D404" s="35"/>
      <c r="E404" s="35"/>
      <c r="F404" s="35"/>
      <c r="G404" s="33"/>
      <c r="H404" s="35"/>
      <c r="I404" s="35"/>
      <c r="J404" s="35"/>
      <c r="K404" s="33"/>
      <c r="L404" s="33"/>
      <c r="M404" s="34"/>
      <c r="N404" s="34"/>
      <c r="O404" s="34"/>
      <c r="P404" s="34" t="str">
        <f aca="false">IF(OR($D404="",$M404=""),"",IF(IFERROR(INDEX(Settings!$C$11:$C$19,MATCH($L404,Settings!$B$11:$B$19,0)),"Yes")="No","",MAX($M404,$O404)+Settings!$C$6))</f>
        <v/>
      </c>
      <c r="Q404" s="36" t="str">
        <f aca="true">IF($D404="","",IF(IFERROR(INDEX(Settings!$C$11:$C$19,MATCH($L404,Settings!$B$11:$B$19,0)),"Yes")="No","",IF($M404="",IF($N404="","",$N404-TODAY()),IF($P404="","",$P404-TODAY()))))</f>
        <v/>
      </c>
      <c r="R404" s="37" t="str">
        <f aca="true">IF($D404="","",IF(IFERROR(INDEX(Settings!$C$11:$C$19,MATCH($L404,Settings!$B$11:$B$19,0)),"Yes")="No","CLOSED",IF($M404="",IF($N404="","ON TRACK",IF($N404&lt;TODAY(),"OVERDUE",IF($N404-TODAY()&lt;=Settings!$C$5,"DUE SOON","ON TRACK"))),IF($P404&lt;=TODAY(),"FOLLOW-UP DUE","ON TRACK"))))</f>
        <v/>
      </c>
      <c r="S404" s="35"/>
      <c r="T404" s="35"/>
      <c r="U404" s="38"/>
      <c r="V404" s="34"/>
      <c r="W404" s="35" t="str">
        <f aca="false">IF(OR($R404="OVERDUE",$R404="DUE SOON",$R404="FOLLOW-UP DUE"),MAX(W$3:W403)+1,"")</f>
        <v/>
      </c>
    </row>
    <row r="405" customFormat="false" ht="15" hidden="false" customHeight="false" outlineLevel="0" collapsed="false">
      <c r="A405" s="33" t="str">
        <f aca="false">IF($D405="","","JOB-"&amp;TEXT(ROW()-3,"000"))</f>
        <v/>
      </c>
      <c r="B405" s="34"/>
      <c r="C405" s="35"/>
      <c r="D405" s="35"/>
      <c r="E405" s="35"/>
      <c r="F405" s="35"/>
      <c r="G405" s="33"/>
      <c r="H405" s="35"/>
      <c r="I405" s="35"/>
      <c r="J405" s="35"/>
      <c r="K405" s="33"/>
      <c r="L405" s="33"/>
      <c r="M405" s="34"/>
      <c r="N405" s="34"/>
      <c r="O405" s="34"/>
      <c r="P405" s="34" t="str">
        <f aca="false">IF(OR($D405="",$M405=""),"",IF(IFERROR(INDEX(Settings!$C$11:$C$19,MATCH($L405,Settings!$B$11:$B$19,0)),"Yes")="No","",MAX($M405,$O405)+Settings!$C$6))</f>
        <v/>
      </c>
      <c r="Q405" s="36" t="str">
        <f aca="true">IF($D405="","",IF(IFERROR(INDEX(Settings!$C$11:$C$19,MATCH($L405,Settings!$B$11:$B$19,0)),"Yes")="No","",IF($M405="",IF($N405="","",$N405-TODAY()),IF($P405="","",$P405-TODAY()))))</f>
        <v/>
      </c>
      <c r="R405" s="37" t="str">
        <f aca="true">IF($D405="","",IF(IFERROR(INDEX(Settings!$C$11:$C$19,MATCH($L405,Settings!$B$11:$B$19,0)),"Yes")="No","CLOSED",IF($M405="",IF($N405="","ON TRACK",IF($N405&lt;TODAY(),"OVERDUE",IF($N405-TODAY()&lt;=Settings!$C$5,"DUE SOON","ON TRACK"))),IF($P405&lt;=TODAY(),"FOLLOW-UP DUE","ON TRACK"))))</f>
        <v/>
      </c>
      <c r="S405" s="35"/>
      <c r="T405" s="35"/>
      <c r="U405" s="38"/>
      <c r="V405" s="34"/>
      <c r="W405" s="35" t="str">
        <f aca="false">IF(OR($R405="OVERDUE",$R405="DUE SOON",$R405="FOLLOW-UP DUE"),MAX(W$3:W404)+1,"")</f>
        <v/>
      </c>
    </row>
    <row r="406" customFormat="false" ht="15" hidden="false" customHeight="false" outlineLevel="0" collapsed="false">
      <c r="A406" s="33" t="str">
        <f aca="false">IF($D406="","","JOB-"&amp;TEXT(ROW()-3,"000"))</f>
        <v/>
      </c>
      <c r="B406" s="34"/>
      <c r="C406" s="35"/>
      <c r="D406" s="35"/>
      <c r="E406" s="35"/>
      <c r="F406" s="35"/>
      <c r="G406" s="33"/>
      <c r="H406" s="35"/>
      <c r="I406" s="35"/>
      <c r="J406" s="35"/>
      <c r="K406" s="33"/>
      <c r="L406" s="33"/>
      <c r="M406" s="34"/>
      <c r="N406" s="34"/>
      <c r="O406" s="34"/>
      <c r="P406" s="34" t="str">
        <f aca="false">IF(OR($D406="",$M406=""),"",IF(IFERROR(INDEX(Settings!$C$11:$C$19,MATCH($L406,Settings!$B$11:$B$19,0)),"Yes")="No","",MAX($M406,$O406)+Settings!$C$6))</f>
        <v/>
      </c>
      <c r="Q406" s="36" t="str">
        <f aca="true">IF($D406="","",IF(IFERROR(INDEX(Settings!$C$11:$C$19,MATCH($L406,Settings!$B$11:$B$19,0)),"Yes")="No","",IF($M406="",IF($N406="","",$N406-TODAY()),IF($P406="","",$P406-TODAY()))))</f>
        <v/>
      </c>
      <c r="R406" s="37" t="str">
        <f aca="true">IF($D406="","",IF(IFERROR(INDEX(Settings!$C$11:$C$19,MATCH($L406,Settings!$B$11:$B$19,0)),"Yes")="No","CLOSED",IF($M406="",IF($N406="","ON TRACK",IF($N406&lt;TODAY(),"OVERDUE",IF($N406-TODAY()&lt;=Settings!$C$5,"DUE SOON","ON TRACK"))),IF($P406&lt;=TODAY(),"FOLLOW-UP DUE","ON TRACK"))))</f>
        <v/>
      </c>
      <c r="S406" s="35"/>
      <c r="T406" s="35"/>
      <c r="U406" s="38"/>
      <c r="V406" s="34"/>
      <c r="W406" s="35" t="str">
        <f aca="false">IF(OR($R406="OVERDUE",$R406="DUE SOON",$R406="FOLLOW-UP DUE"),MAX(W$3:W405)+1,"")</f>
        <v/>
      </c>
    </row>
    <row r="407" customFormat="false" ht="15" hidden="false" customHeight="false" outlineLevel="0" collapsed="false">
      <c r="A407" s="33" t="str">
        <f aca="false">IF($D407="","","JOB-"&amp;TEXT(ROW()-3,"000"))</f>
        <v/>
      </c>
      <c r="B407" s="34"/>
      <c r="C407" s="35"/>
      <c r="D407" s="35"/>
      <c r="E407" s="35"/>
      <c r="F407" s="35"/>
      <c r="G407" s="33"/>
      <c r="H407" s="35"/>
      <c r="I407" s="35"/>
      <c r="J407" s="35"/>
      <c r="K407" s="33"/>
      <c r="L407" s="33"/>
      <c r="M407" s="34"/>
      <c r="N407" s="34"/>
      <c r="O407" s="34"/>
      <c r="P407" s="34" t="str">
        <f aca="false">IF(OR($D407="",$M407=""),"",IF(IFERROR(INDEX(Settings!$C$11:$C$19,MATCH($L407,Settings!$B$11:$B$19,0)),"Yes")="No","",MAX($M407,$O407)+Settings!$C$6))</f>
        <v/>
      </c>
      <c r="Q407" s="36" t="str">
        <f aca="true">IF($D407="","",IF(IFERROR(INDEX(Settings!$C$11:$C$19,MATCH($L407,Settings!$B$11:$B$19,0)),"Yes")="No","",IF($M407="",IF($N407="","",$N407-TODAY()),IF($P407="","",$P407-TODAY()))))</f>
        <v/>
      </c>
      <c r="R407" s="37" t="str">
        <f aca="true">IF($D407="","",IF(IFERROR(INDEX(Settings!$C$11:$C$19,MATCH($L407,Settings!$B$11:$B$19,0)),"Yes")="No","CLOSED",IF($M407="",IF($N407="","ON TRACK",IF($N407&lt;TODAY(),"OVERDUE",IF($N407-TODAY()&lt;=Settings!$C$5,"DUE SOON","ON TRACK"))),IF($P407&lt;=TODAY(),"FOLLOW-UP DUE","ON TRACK"))))</f>
        <v/>
      </c>
      <c r="S407" s="35"/>
      <c r="T407" s="35"/>
      <c r="U407" s="38"/>
      <c r="V407" s="34"/>
      <c r="W407" s="35" t="str">
        <f aca="false">IF(OR($R407="OVERDUE",$R407="DUE SOON",$R407="FOLLOW-UP DUE"),MAX(W$3:W406)+1,"")</f>
        <v/>
      </c>
    </row>
    <row r="408" customFormat="false" ht="15" hidden="false" customHeight="false" outlineLevel="0" collapsed="false">
      <c r="A408" s="33" t="str">
        <f aca="false">IF($D408="","","JOB-"&amp;TEXT(ROW()-3,"000"))</f>
        <v/>
      </c>
      <c r="B408" s="34"/>
      <c r="C408" s="35"/>
      <c r="D408" s="35"/>
      <c r="E408" s="35"/>
      <c r="F408" s="35"/>
      <c r="G408" s="33"/>
      <c r="H408" s="35"/>
      <c r="I408" s="35"/>
      <c r="J408" s="35"/>
      <c r="K408" s="33"/>
      <c r="L408" s="33"/>
      <c r="M408" s="34"/>
      <c r="N408" s="34"/>
      <c r="O408" s="34"/>
      <c r="P408" s="34" t="str">
        <f aca="false">IF(OR($D408="",$M408=""),"",IF(IFERROR(INDEX(Settings!$C$11:$C$19,MATCH($L408,Settings!$B$11:$B$19,0)),"Yes")="No","",MAX($M408,$O408)+Settings!$C$6))</f>
        <v/>
      </c>
      <c r="Q408" s="36" t="str">
        <f aca="true">IF($D408="","",IF(IFERROR(INDEX(Settings!$C$11:$C$19,MATCH($L408,Settings!$B$11:$B$19,0)),"Yes")="No","",IF($M408="",IF($N408="","",$N408-TODAY()),IF($P408="","",$P408-TODAY()))))</f>
        <v/>
      </c>
      <c r="R408" s="37" t="str">
        <f aca="true">IF($D408="","",IF(IFERROR(INDEX(Settings!$C$11:$C$19,MATCH($L408,Settings!$B$11:$B$19,0)),"Yes")="No","CLOSED",IF($M408="",IF($N408="","ON TRACK",IF($N408&lt;TODAY(),"OVERDUE",IF($N408-TODAY()&lt;=Settings!$C$5,"DUE SOON","ON TRACK"))),IF($P408&lt;=TODAY(),"FOLLOW-UP DUE","ON TRACK"))))</f>
        <v/>
      </c>
      <c r="S408" s="35"/>
      <c r="T408" s="35"/>
      <c r="U408" s="38"/>
      <c r="V408" s="34"/>
      <c r="W408" s="35" t="str">
        <f aca="false">IF(OR($R408="OVERDUE",$R408="DUE SOON",$R408="FOLLOW-UP DUE"),MAX(W$3:W407)+1,"")</f>
        <v/>
      </c>
    </row>
    <row r="409" customFormat="false" ht="15" hidden="false" customHeight="false" outlineLevel="0" collapsed="false">
      <c r="A409" s="33" t="str">
        <f aca="false">IF($D409="","","JOB-"&amp;TEXT(ROW()-3,"000"))</f>
        <v/>
      </c>
      <c r="B409" s="34"/>
      <c r="C409" s="35"/>
      <c r="D409" s="35"/>
      <c r="E409" s="35"/>
      <c r="F409" s="35"/>
      <c r="G409" s="33"/>
      <c r="H409" s="35"/>
      <c r="I409" s="35"/>
      <c r="J409" s="35"/>
      <c r="K409" s="33"/>
      <c r="L409" s="33"/>
      <c r="M409" s="34"/>
      <c r="N409" s="34"/>
      <c r="O409" s="34"/>
      <c r="P409" s="34" t="str">
        <f aca="false">IF(OR($D409="",$M409=""),"",IF(IFERROR(INDEX(Settings!$C$11:$C$19,MATCH($L409,Settings!$B$11:$B$19,0)),"Yes")="No","",MAX($M409,$O409)+Settings!$C$6))</f>
        <v/>
      </c>
      <c r="Q409" s="36" t="str">
        <f aca="true">IF($D409="","",IF(IFERROR(INDEX(Settings!$C$11:$C$19,MATCH($L409,Settings!$B$11:$B$19,0)),"Yes")="No","",IF($M409="",IF($N409="","",$N409-TODAY()),IF($P409="","",$P409-TODAY()))))</f>
        <v/>
      </c>
      <c r="R409" s="37" t="str">
        <f aca="true">IF($D409="","",IF(IFERROR(INDEX(Settings!$C$11:$C$19,MATCH($L409,Settings!$B$11:$B$19,0)),"Yes")="No","CLOSED",IF($M409="",IF($N409="","ON TRACK",IF($N409&lt;TODAY(),"OVERDUE",IF($N409-TODAY()&lt;=Settings!$C$5,"DUE SOON","ON TRACK"))),IF($P409&lt;=TODAY(),"FOLLOW-UP DUE","ON TRACK"))))</f>
        <v/>
      </c>
      <c r="S409" s="35"/>
      <c r="T409" s="35"/>
      <c r="U409" s="38"/>
      <c r="V409" s="34"/>
      <c r="W409" s="35" t="str">
        <f aca="false">IF(OR($R409="OVERDUE",$R409="DUE SOON",$R409="FOLLOW-UP DUE"),MAX(W$3:W408)+1,"")</f>
        <v/>
      </c>
    </row>
    <row r="410" customFormat="false" ht="15" hidden="false" customHeight="false" outlineLevel="0" collapsed="false">
      <c r="A410" s="33" t="str">
        <f aca="false">IF($D410="","","JOB-"&amp;TEXT(ROW()-3,"000"))</f>
        <v/>
      </c>
      <c r="B410" s="34"/>
      <c r="C410" s="35"/>
      <c r="D410" s="35"/>
      <c r="E410" s="35"/>
      <c r="F410" s="35"/>
      <c r="G410" s="33"/>
      <c r="H410" s="35"/>
      <c r="I410" s="35"/>
      <c r="J410" s="35"/>
      <c r="K410" s="33"/>
      <c r="L410" s="33"/>
      <c r="M410" s="34"/>
      <c r="N410" s="34"/>
      <c r="O410" s="34"/>
      <c r="P410" s="34" t="str">
        <f aca="false">IF(OR($D410="",$M410=""),"",IF(IFERROR(INDEX(Settings!$C$11:$C$19,MATCH($L410,Settings!$B$11:$B$19,0)),"Yes")="No","",MAX($M410,$O410)+Settings!$C$6))</f>
        <v/>
      </c>
      <c r="Q410" s="36" t="str">
        <f aca="true">IF($D410="","",IF(IFERROR(INDEX(Settings!$C$11:$C$19,MATCH($L410,Settings!$B$11:$B$19,0)),"Yes")="No","",IF($M410="",IF($N410="","",$N410-TODAY()),IF($P410="","",$P410-TODAY()))))</f>
        <v/>
      </c>
      <c r="R410" s="37" t="str">
        <f aca="true">IF($D410="","",IF(IFERROR(INDEX(Settings!$C$11:$C$19,MATCH($L410,Settings!$B$11:$B$19,0)),"Yes")="No","CLOSED",IF($M410="",IF($N410="","ON TRACK",IF($N410&lt;TODAY(),"OVERDUE",IF($N410-TODAY()&lt;=Settings!$C$5,"DUE SOON","ON TRACK"))),IF($P410&lt;=TODAY(),"FOLLOW-UP DUE","ON TRACK"))))</f>
        <v/>
      </c>
      <c r="S410" s="35"/>
      <c r="T410" s="35"/>
      <c r="U410" s="38"/>
      <c r="V410" s="34"/>
      <c r="W410" s="35" t="str">
        <f aca="false">IF(OR($R410="OVERDUE",$R410="DUE SOON",$R410="FOLLOW-UP DUE"),MAX(W$3:W409)+1,"")</f>
        <v/>
      </c>
    </row>
    <row r="411" customFormat="false" ht="15" hidden="false" customHeight="false" outlineLevel="0" collapsed="false">
      <c r="A411" s="33" t="str">
        <f aca="false">IF($D411="","","JOB-"&amp;TEXT(ROW()-3,"000"))</f>
        <v/>
      </c>
      <c r="B411" s="34"/>
      <c r="C411" s="35"/>
      <c r="D411" s="35"/>
      <c r="E411" s="35"/>
      <c r="F411" s="35"/>
      <c r="G411" s="33"/>
      <c r="H411" s="35"/>
      <c r="I411" s="35"/>
      <c r="J411" s="35"/>
      <c r="K411" s="33"/>
      <c r="L411" s="33"/>
      <c r="M411" s="34"/>
      <c r="N411" s="34"/>
      <c r="O411" s="34"/>
      <c r="P411" s="34" t="str">
        <f aca="false">IF(OR($D411="",$M411=""),"",IF(IFERROR(INDEX(Settings!$C$11:$C$19,MATCH($L411,Settings!$B$11:$B$19,0)),"Yes")="No","",MAX($M411,$O411)+Settings!$C$6))</f>
        <v/>
      </c>
      <c r="Q411" s="36" t="str">
        <f aca="true">IF($D411="","",IF(IFERROR(INDEX(Settings!$C$11:$C$19,MATCH($L411,Settings!$B$11:$B$19,0)),"Yes")="No","",IF($M411="",IF($N411="","",$N411-TODAY()),IF($P411="","",$P411-TODAY()))))</f>
        <v/>
      </c>
      <c r="R411" s="37" t="str">
        <f aca="true">IF($D411="","",IF(IFERROR(INDEX(Settings!$C$11:$C$19,MATCH($L411,Settings!$B$11:$B$19,0)),"Yes")="No","CLOSED",IF($M411="",IF($N411="","ON TRACK",IF($N411&lt;TODAY(),"OVERDUE",IF($N411-TODAY()&lt;=Settings!$C$5,"DUE SOON","ON TRACK"))),IF($P411&lt;=TODAY(),"FOLLOW-UP DUE","ON TRACK"))))</f>
        <v/>
      </c>
      <c r="S411" s="35"/>
      <c r="T411" s="35"/>
      <c r="U411" s="38"/>
      <c r="V411" s="34"/>
      <c r="W411" s="35" t="str">
        <f aca="false">IF(OR($R411="OVERDUE",$R411="DUE SOON",$R411="FOLLOW-UP DUE"),MAX(W$3:W410)+1,"")</f>
        <v/>
      </c>
    </row>
    <row r="412" customFormat="false" ht="15" hidden="false" customHeight="false" outlineLevel="0" collapsed="false">
      <c r="A412" s="33" t="str">
        <f aca="false">IF($D412="","","JOB-"&amp;TEXT(ROW()-3,"000"))</f>
        <v/>
      </c>
      <c r="B412" s="34"/>
      <c r="C412" s="35"/>
      <c r="D412" s="35"/>
      <c r="E412" s="35"/>
      <c r="F412" s="35"/>
      <c r="G412" s="33"/>
      <c r="H412" s="35"/>
      <c r="I412" s="35"/>
      <c r="J412" s="35"/>
      <c r="K412" s="33"/>
      <c r="L412" s="33"/>
      <c r="M412" s="34"/>
      <c r="N412" s="34"/>
      <c r="O412" s="34"/>
      <c r="P412" s="34" t="str">
        <f aca="false">IF(OR($D412="",$M412=""),"",IF(IFERROR(INDEX(Settings!$C$11:$C$19,MATCH($L412,Settings!$B$11:$B$19,0)),"Yes")="No","",MAX($M412,$O412)+Settings!$C$6))</f>
        <v/>
      </c>
      <c r="Q412" s="36" t="str">
        <f aca="true">IF($D412="","",IF(IFERROR(INDEX(Settings!$C$11:$C$19,MATCH($L412,Settings!$B$11:$B$19,0)),"Yes")="No","",IF($M412="",IF($N412="","",$N412-TODAY()),IF($P412="","",$P412-TODAY()))))</f>
        <v/>
      </c>
      <c r="R412" s="37" t="str">
        <f aca="true">IF($D412="","",IF(IFERROR(INDEX(Settings!$C$11:$C$19,MATCH($L412,Settings!$B$11:$B$19,0)),"Yes")="No","CLOSED",IF($M412="",IF($N412="","ON TRACK",IF($N412&lt;TODAY(),"OVERDUE",IF($N412-TODAY()&lt;=Settings!$C$5,"DUE SOON","ON TRACK"))),IF($P412&lt;=TODAY(),"FOLLOW-UP DUE","ON TRACK"))))</f>
        <v/>
      </c>
      <c r="S412" s="35"/>
      <c r="T412" s="35"/>
      <c r="U412" s="38"/>
      <c r="V412" s="34"/>
      <c r="W412" s="35" t="str">
        <f aca="false">IF(OR($R412="OVERDUE",$R412="DUE SOON",$R412="FOLLOW-UP DUE"),MAX(W$3:W411)+1,"")</f>
        <v/>
      </c>
    </row>
    <row r="413" customFormat="false" ht="15" hidden="false" customHeight="false" outlineLevel="0" collapsed="false">
      <c r="A413" s="33" t="str">
        <f aca="false">IF($D413="","","JOB-"&amp;TEXT(ROW()-3,"000"))</f>
        <v/>
      </c>
      <c r="B413" s="34"/>
      <c r="C413" s="35"/>
      <c r="D413" s="35"/>
      <c r="E413" s="35"/>
      <c r="F413" s="35"/>
      <c r="G413" s="33"/>
      <c r="H413" s="35"/>
      <c r="I413" s="35"/>
      <c r="J413" s="35"/>
      <c r="K413" s="33"/>
      <c r="L413" s="33"/>
      <c r="M413" s="34"/>
      <c r="N413" s="34"/>
      <c r="O413" s="34"/>
      <c r="P413" s="34" t="str">
        <f aca="false">IF(OR($D413="",$M413=""),"",IF(IFERROR(INDEX(Settings!$C$11:$C$19,MATCH($L413,Settings!$B$11:$B$19,0)),"Yes")="No","",MAX($M413,$O413)+Settings!$C$6))</f>
        <v/>
      </c>
      <c r="Q413" s="36" t="str">
        <f aca="true">IF($D413="","",IF(IFERROR(INDEX(Settings!$C$11:$C$19,MATCH($L413,Settings!$B$11:$B$19,0)),"Yes")="No","",IF($M413="",IF($N413="","",$N413-TODAY()),IF($P413="","",$P413-TODAY()))))</f>
        <v/>
      </c>
      <c r="R413" s="37" t="str">
        <f aca="true">IF($D413="","",IF(IFERROR(INDEX(Settings!$C$11:$C$19,MATCH($L413,Settings!$B$11:$B$19,0)),"Yes")="No","CLOSED",IF($M413="",IF($N413="","ON TRACK",IF($N413&lt;TODAY(),"OVERDUE",IF($N413-TODAY()&lt;=Settings!$C$5,"DUE SOON","ON TRACK"))),IF($P413&lt;=TODAY(),"FOLLOW-UP DUE","ON TRACK"))))</f>
        <v/>
      </c>
      <c r="S413" s="35"/>
      <c r="T413" s="35"/>
      <c r="U413" s="38"/>
      <c r="V413" s="34"/>
      <c r="W413" s="35" t="str">
        <f aca="false">IF(OR($R413="OVERDUE",$R413="DUE SOON",$R413="FOLLOW-UP DUE"),MAX(W$3:W412)+1,"")</f>
        <v/>
      </c>
    </row>
    <row r="414" customFormat="false" ht="15" hidden="false" customHeight="false" outlineLevel="0" collapsed="false">
      <c r="A414" s="33" t="str">
        <f aca="false">IF($D414="","","JOB-"&amp;TEXT(ROW()-3,"000"))</f>
        <v/>
      </c>
      <c r="B414" s="34"/>
      <c r="C414" s="35"/>
      <c r="D414" s="35"/>
      <c r="E414" s="35"/>
      <c r="F414" s="35"/>
      <c r="G414" s="33"/>
      <c r="H414" s="35"/>
      <c r="I414" s="35"/>
      <c r="J414" s="35"/>
      <c r="K414" s="33"/>
      <c r="L414" s="33"/>
      <c r="M414" s="34"/>
      <c r="N414" s="34"/>
      <c r="O414" s="34"/>
      <c r="P414" s="34" t="str">
        <f aca="false">IF(OR($D414="",$M414=""),"",IF(IFERROR(INDEX(Settings!$C$11:$C$19,MATCH($L414,Settings!$B$11:$B$19,0)),"Yes")="No","",MAX($M414,$O414)+Settings!$C$6))</f>
        <v/>
      </c>
      <c r="Q414" s="36" t="str">
        <f aca="true">IF($D414="","",IF(IFERROR(INDEX(Settings!$C$11:$C$19,MATCH($L414,Settings!$B$11:$B$19,0)),"Yes")="No","",IF($M414="",IF($N414="","",$N414-TODAY()),IF($P414="","",$P414-TODAY()))))</f>
        <v/>
      </c>
      <c r="R414" s="37" t="str">
        <f aca="true">IF($D414="","",IF(IFERROR(INDEX(Settings!$C$11:$C$19,MATCH($L414,Settings!$B$11:$B$19,0)),"Yes")="No","CLOSED",IF($M414="",IF($N414="","ON TRACK",IF($N414&lt;TODAY(),"OVERDUE",IF($N414-TODAY()&lt;=Settings!$C$5,"DUE SOON","ON TRACK"))),IF($P414&lt;=TODAY(),"FOLLOW-UP DUE","ON TRACK"))))</f>
        <v/>
      </c>
      <c r="S414" s="35"/>
      <c r="T414" s="35"/>
      <c r="U414" s="38"/>
      <c r="V414" s="34"/>
      <c r="W414" s="35" t="str">
        <f aca="false">IF(OR($R414="OVERDUE",$R414="DUE SOON",$R414="FOLLOW-UP DUE"),MAX(W$3:W413)+1,"")</f>
        <v/>
      </c>
    </row>
    <row r="415" customFormat="false" ht="15" hidden="false" customHeight="false" outlineLevel="0" collapsed="false">
      <c r="A415" s="33" t="str">
        <f aca="false">IF($D415="","","JOB-"&amp;TEXT(ROW()-3,"000"))</f>
        <v/>
      </c>
      <c r="B415" s="34"/>
      <c r="C415" s="35"/>
      <c r="D415" s="35"/>
      <c r="E415" s="35"/>
      <c r="F415" s="35"/>
      <c r="G415" s="33"/>
      <c r="H415" s="35"/>
      <c r="I415" s="35"/>
      <c r="J415" s="35"/>
      <c r="K415" s="33"/>
      <c r="L415" s="33"/>
      <c r="M415" s="34"/>
      <c r="N415" s="34"/>
      <c r="O415" s="34"/>
      <c r="P415" s="34" t="str">
        <f aca="false">IF(OR($D415="",$M415=""),"",IF(IFERROR(INDEX(Settings!$C$11:$C$19,MATCH($L415,Settings!$B$11:$B$19,0)),"Yes")="No","",MAX($M415,$O415)+Settings!$C$6))</f>
        <v/>
      </c>
      <c r="Q415" s="36" t="str">
        <f aca="true">IF($D415="","",IF(IFERROR(INDEX(Settings!$C$11:$C$19,MATCH($L415,Settings!$B$11:$B$19,0)),"Yes")="No","",IF($M415="",IF($N415="","",$N415-TODAY()),IF($P415="","",$P415-TODAY()))))</f>
        <v/>
      </c>
      <c r="R415" s="37" t="str">
        <f aca="true">IF($D415="","",IF(IFERROR(INDEX(Settings!$C$11:$C$19,MATCH($L415,Settings!$B$11:$B$19,0)),"Yes")="No","CLOSED",IF($M415="",IF($N415="","ON TRACK",IF($N415&lt;TODAY(),"OVERDUE",IF($N415-TODAY()&lt;=Settings!$C$5,"DUE SOON","ON TRACK"))),IF($P415&lt;=TODAY(),"FOLLOW-UP DUE","ON TRACK"))))</f>
        <v/>
      </c>
      <c r="S415" s="35"/>
      <c r="T415" s="35"/>
      <c r="U415" s="38"/>
      <c r="V415" s="34"/>
      <c r="W415" s="35" t="str">
        <f aca="false">IF(OR($R415="OVERDUE",$R415="DUE SOON",$R415="FOLLOW-UP DUE"),MAX(W$3:W414)+1,"")</f>
        <v/>
      </c>
    </row>
    <row r="416" customFormat="false" ht="15" hidden="false" customHeight="false" outlineLevel="0" collapsed="false">
      <c r="A416" s="33" t="str">
        <f aca="false">IF($D416="","","JOB-"&amp;TEXT(ROW()-3,"000"))</f>
        <v/>
      </c>
      <c r="B416" s="34"/>
      <c r="C416" s="35"/>
      <c r="D416" s="35"/>
      <c r="E416" s="35"/>
      <c r="F416" s="35"/>
      <c r="G416" s="33"/>
      <c r="H416" s="35"/>
      <c r="I416" s="35"/>
      <c r="J416" s="35"/>
      <c r="K416" s="33"/>
      <c r="L416" s="33"/>
      <c r="M416" s="34"/>
      <c r="N416" s="34"/>
      <c r="O416" s="34"/>
      <c r="P416" s="34" t="str">
        <f aca="false">IF(OR($D416="",$M416=""),"",IF(IFERROR(INDEX(Settings!$C$11:$C$19,MATCH($L416,Settings!$B$11:$B$19,0)),"Yes")="No","",MAX($M416,$O416)+Settings!$C$6))</f>
        <v/>
      </c>
      <c r="Q416" s="36" t="str">
        <f aca="true">IF($D416="","",IF(IFERROR(INDEX(Settings!$C$11:$C$19,MATCH($L416,Settings!$B$11:$B$19,0)),"Yes")="No","",IF($M416="",IF($N416="","",$N416-TODAY()),IF($P416="","",$P416-TODAY()))))</f>
        <v/>
      </c>
      <c r="R416" s="37" t="str">
        <f aca="true">IF($D416="","",IF(IFERROR(INDEX(Settings!$C$11:$C$19,MATCH($L416,Settings!$B$11:$B$19,0)),"Yes")="No","CLOSED",IF($M416="",IF($N416="","ON TRACK",IF($N416&lt;TODAY(),"OVERDUE",IF($N416-TODAY()&lt;=Settings!$C$5,"DUE SOON","ON TRACK"))),IF($P416&lt;=TODAY(),"FOLLOW-UP DUE","ON TRACK"))))</f>
        <v/>
      </c>
      <c r="S416" s="35"/>
      <c r="T416" s="35"/>
      <c r="U416" s="38"/>
      <c r="V416" s="34"/>
      <c r="W416" s="35" t="str">
        <f aca="false">IF(OR($R416="OVERDUE",$R416="DUE SOON",$R416="FOLLOW-UP DUE"),MAX(W$3:W415)+1,"")</f>
        <v/>
      </c>
    </row>
    <row r="417" customFormat="false" ht="15" hidden="false" customHeight="false" outlineLevel="0" collapsed="false">
      <c r="A417" s="33" t="str">
        <f aca="false">IF($D417="","","JOB-"&amp;TEXT(ROW()-3,"000"))</f>
        <v/>
      </c>
      <c r="B417" s="34"/>
      <c r="C417" s="35"/>
      <c r="D417" s="35"/>
      <c r="E417" s="35"/>
      <c r="F417" s="35"/>
      <c r="G417" s="33"/>
      <c r="H417" s="35"/>
      <c r="I417" s="35"/>
      <c r="J417" s="35"/>
      <c r="K417" s="33"/>
      <c r="L417" s="33"/>
      <c r="M417" s="34"/>
      <c r="N417" s="34"/>
      <c r="O417" s="34"/>
      <c r="P417" s="34" t="str">
        <f aca="false">IF(OR($D417="",$M417=""),"",IF(IFERROR(INDEX(Settings!$C$11:$C$19,MATCH($L417,Settings!$B$11:$B$19,0)),"Yes")="No","",MAX($M417,$O417)+Settings!$C$6))</f>
        <v/>
      </c>
      <c r="Q417" s="36" t="str">
        <f aca="true">IF($D417="","",IF(IFERROR(INDEX(Settings!$C$11:$C$19,MATCH($L417,Settings!$B$11:$B$19,0)),"Yes")="No","",IF($M417="",IF($N417="","",$N417-TODAY()),IF($P417="","",$P417-TODAY()))))</f>
        <v/>
      </c>
      <c r="R417" s="37" t="str">
        <f aca="true">IF($D417="","",IF(IFERROR(INDEX(Settings!$C$11:$C$19,MATCH($L417,Settings!$B$11:$B$19,0)),"Yes")="No","CLOSED",IF($M417="",IF($N417="","ON TRACK",IF($N417&lt;TODAY(),"OVERDUE",IF($N417-TODAY()&lt;=Settings!$C$5,"DUE SOON","ON TRACK"))),IF($P417&lt;=TODAY(),"FOLLOW-UP DUE","ON TRACK"))))</f>
        <v/>
      </c>
      <c r="S417" s="35"/>
      <c r="T417" s="35"/>
      <c r="U417" s="38"/>
      <c r="V417" s="34"/>
      <c r="W417" s="35" t="str">
        <f aca="false">IF(OR($R417="OVERDUE",$R417="DUE SOON",$R417="FOLLOW-UP DUE"),MAX(W$3:W416)+1,"")</f>
        <v/>
      </c>
    </row>
    <row r="418" customFormat="false" ht="15" hidden="false" customHeight="false" outlineLevel="0" collapsed="false">
      <c r="A418" s="33" t="str">
        <f aca="false">IF($D418="","","JOB-"&amp;TEXT(ROW()-3,"000"))</f>
        <v/>
      </c>
      <c r="B418" s="34"/>
      <c r="C418" s="35"/>
      <c r="D418" s="35"/>
      <c r="E418" s="35"/>
      <c r="F418" s="35"/>
      <c r="G418" s="33"/>
      <c r="H418" s="35"/>
      <c r="I418" s="35"/>
      <c r="J418" s="35"/>
      <c r="K418" s="33"/>
      <c r="L418" s="33"/>
      <c r="M418" s="34"/>
      <c r="N418" s="34"/>
      <c r="O418" s="34"/>
      <c r="P418" s="34" t="str">
        <f aca="false">IF(OR($D418="",$M418=""),"",IF(IFERROR(INDEX(Settings!$C$11:$C$19,MATCH($L418,Settings!$B$11:$B$19,0)),"Yes")="No","",MAX($M418,$O418)+Settings!$C$6))</f>
        <v/>
      </c>
      <c r="Q418" s="36" t="str">
        <f aca="true">IF($D418="","",IF(IFERROR(INDEX(Settings!$C$11:$C$19,MATCH($L418,Settings!$B$11:$B$19,0)),"Yes")="No","",IF($M418="",IF($N418="","",$N418-TODAY()),IF($P418="","",$P418-TODAY()))))</f>
        <v/>
      </c>
      <c r="R418" s="37" t="str">
        <f aca="true">IF($D418="","",IF(IFERROR(INDEX(Settings!$C$11:$C$19,MATCH($L418,Settings!$B$11:$B$19,0)),"Yes")="No","CLOSED",IF($M418="",IF($N418="","ON TRACK",IF($N418&lt;TODAY(),"OVERDUE",IF($N418-TODAY()&lt;=Settings!$C$5,"DUE SOON","ON TRACK"))),IF($P418&lt;=TODAY(),"FOLLOW-UP DUE","ON TRACK"))))</f>
        <v/>
      </c>
      <c r="S418" s="35"/>
      <c r="T418" s="35"/>
      <c r="U418" s="38"/>
      <c r="V418" s="34"/>
      <c r="W418" s="35" t="str">
        <f aca="false">IF(OR($R418="OVERDUE",$R418="DUE SOON",$R418="FOLLOW-UP DUE"),MAX(W$3:W417)+1,"")</f>
        <v/>
      </c>
    </row>
    <row r="419" customFormat="false" ht="15" hidden="false" customHeight="false" outlineLevel="0" collapsed="false">
      <c r="A419" s="33" t="str">
        <f aca="false">IF($D419="","","JOB-"&amp;TEXT(ROW()-3,"000"))</f>
        <v/>
      </c>
      <c r="B419" s="34"/>
      <c r="C419" s="35"/>
      <c r="D419" s="35"/>
      <c r="E419" s="35"/>
      <c r="F419" s="35"/>
      <c r="G419" s="33"/>
      <c r="H419" s="35"/>
      <c r="I419" s="35"/>
      <c r="J419" s="35"/>
      <c r="K419" s="33"/>
      <c r="L419" s="33"/>
      <c r="M419" s="34"/>
      <c r="N419" s="34"/>
      <c r="O419" s="34"/>
      <c r="P419" s="34" t="str">
        <f aca="false">IF(OR($D419="",$M419=""),"",IF(IFERROR(INDEX(Settings!$C$11:$C$19,MATCH($L419,Settings!$B$11:$B$19,0)),"Yes")="No","",MAX($M419,$O419)+Settings!$C$6))</f>
        <v/>
      </c>
      <c r="Q419" s="36" t="str">
        <f aca="true">IF($D419="","",IF(IFERROR(INDEX(Settings!$C$11:$C$19,MATCH($L419,Settings!$B$11:$B$19,0)),"Yes")="No","",IF($M419="",IF($N419="","",$N419-TODAY()),IF($P419="","",$P419-TODAY()))))</f>
        <v/>
      </c>
      <c r="R419" s="37" t="str">
        <f aca="true">IF($D419="","",IF(IFERROR(INDEX(Settings!$C$11:$C$19,MATCH($L419,Settings!$B$11:$B$19,0)),"Yes")="No","CLOSED",IF($M419="",IF($N419="","ON TRACK",IF($N419&lt;TODAY(),"OVERDUE",IF($N419-TODAY()&lt;=Settings!$C$5,"DUE SOON","ON TRACK"))),IF($P419&lt;=TODAY(),"FOLLOW-UP DUE","ON TRACK"))))</f>
        <v/>
      </c>
      <c r="S419" s="35"/>
      <c r="T419" s="35"/>
      <c r="U419" s="38"/>
      <c r="V419" s="34"/>
      <c r="W419" s="35" t="str">
        <f aca="false">IF(OR($R419="OVERDUE",$R419="DUE SOON",$R419="FOLLOW-UP DUE"),MAX(W$3:W418)+1,"")</f>
        <v/>
      </c>
    </row>
    <row r="420" customFormat="false" ht="15" hidden="false" customHeight="false" outlineLevel="0" collapsed="false">
      <c r="A420" s="33" t="str">
        <f aca="false">IF($D420="","","JOB-"&amp;TEXT(ROW()-3,"000"))</f>
        <v/>
      </c>
      <c r="B420" s="34"/>
      <c r="C420" s="35"/>
      <c r="D420" s="35"/>
      <c r="E420" s="35"/>
      <c r="F420" s="35"/>
      <c r="G420" s="33"/>
      <c r="H420" s="35"/>
      <c r="I420" s="35"/>
      <c r="J420" s="35"/>
      <c r="K420" s="33"/>
      <c r="L420" s="33"/>
      <c r="M420" s="34"/>
      <c r="N420" s="34"/>
      <c r="O420" s="34"/>
      <c r="P420" s="34" t="str">
        <f aca="false">IF(OR($D420="",$M420=""),"",IF(IFERROR(INDEX(Settings!$C$11:$C$19,MATCH($L420,Settings!$B$11:$B$19,0)),"Yes")="No","",MAX($M420,$O420)+Settings!$C$6))</f>
        <v/>
      </c>
      <c r="Q420" s="36" t="str">
        <f aca="true">IF($D420="","",IF(IFERROR(INDEX(Settings!$C$11:$C$19,MATCH($L420,Settings!$B$11:$B$19,0)),"Yes")="No","",IF($M420="",IF($N420="","",$N420-TODAY()),IF($P420="","",$P420-TODAY()))))</f>
        <v/>
      </c>
      <c r="R420" s="37" t="str">
        <f aca="true">IF($D420="","",IF(IFERROR(INDEX(Settings!$C$11:$C$19,MATCH($L420,Settings!$B$11:$B$19,0)),"Yes")="No","CLOSED",IF($M420="",IF($N420="","ON TRACK",IF($N420&lt;TODAY(),"OVERDUE",IF($N420-TODAY()&lt;=Settings!$C$5,"DUE SOON","ON TRACK"))),IF($P420&lt;=TODAY(),"FOLLOW-UP DUE","ON TRACK"))))</f>
        <v/>
      </c>
      <c r="S420" s="35"/>
      <c r="T420" s="35"/>
      <c r="U420" s="38"/>
      <c r="V420" s="34"/>
      <c r="W420" s="35" t="str">
        <f aca="false">IF(OR($R420="OVERDUE",$R420="DUE SOON",$R420="FOLLOW-UP DUE"),MAX(W$3:W419)+1,"")</f>
        <v/>
      </c>
    </row>
    <row r="421" customFormat="false" ht="15" hidden="false" customHeight="false" outlineLevel="0" collapsed="false">
      <c r="A421" s="33" t="str">
        <f aca="false">IF($D421="","","JOB-"&amp;TEXT(ROW()-3,"000"))</f>
        <v/>
      </c>
      <c r="B421" s="34"/>
      <c r="C421" s="35"/>
      <c r="D421" s="35"/>
      <c r="E421" s="35"/>
      <c r="F421" s="35"/>
      <c r="G421" s="33"/>
      <c r="H421" s="35"/>
      <c r="I421" s="35"/>
      <c r="J421" s="35"/>
      <c r="K421" s="33"/>
      <c r="L421" s="33"/>
      <c r="M421" s="34"/>
      <c r="N421" s="34"/>
      <c r="O421" s="34"/>
      <c r="P421" s="34" t="str">
        <f aca="false">IF(OR($D421="",$M421=""),"",IF(IFERROR(INDEX(Settings!$C$11:$C$19,MATCH($L421,Settings!$B$11:$B$19,0)),"Yes")="No","",MAX($M421,$O421)+Settings!$C$6))</f>
        <v/>
      </c>
      <c r="Q421" s="36" t="str">
        <f aca="true">IF($D421="","",IF(IFERROR(INDEX(Settings!$C$11:$C$19,MATCH($L421,Settings!$B$11:$B$19,0)),"Yes")="No","",IF($M421="",IF($N421="","",$N421-TODAY()),IF($P421="","",$P421-TODAY()))))</f>
        <v/>
      </c>
      <c r="R421" s="37" t="str">
        <f aca="true">IF($D421="","",IF(IFERROR(INDEX(Settings!$C$11:$C$19,MATCH($L421,Settings!$B$11:$B$19,0)),"Yes")="No","CLOSED",IF($M421="",IF($N421="","ON TRACK",IF($N421&lt;TODAY(),"OVERDUE",IF($N421-TODAY()&lt;=Settings!$C$5,"DUE SOON","ON TRACK"))),IF($P421&lt;=TODAY(),"FOLLOW-UP DUE","ON TRACK"))))</f>
        <v/>
      </c>
      <c r="S421" s="35"/>
      <c r="T421" s="35"/>
      <c r="U421" s="38"/>
      <c r="V421" s="34"/>
      <c r="W421" s="35" t="str">
        <f aca="false">IF(OR($R421="OVERDUE",$R421="DUE SOON",$R421="FOLLOW-UP DUE"),MAX(W$3:W420)+1,"")</f>
        <v/>
      </c>
    </row>
    <row r="422" customFormat="false" ht="15" hidden="false" customHeight="false" outlineLevel="0" collapsed="false">
      <c r="A422" s="33" t="str">
        <f aca="false">IF($D422="","","JOB-"&amp;TEXT(ROW()-3,"000"))</f>
        <v/>
      </c>
      <c r="B422" s="34"/>
      <c r="C422" s="35"/>
      <c r="D422" s="35"/>
      <c r="E422" s="35"/>
      <c r="F422" s="35"/>
      <c r="G422" s="33"/>
      <c r="H422" s="35"/>
      <c r="I422" s="35"/>
      <c r="J422" s="35"/>
      <c r="K422" s="33"/>
      <c r="L422" s="33"/>
      <c r="M422" s="34"/>
      <c r="N422" s="34"/>
      <c r="O422" s="34"/>
      <c r="P422" s="34" t="str">
        <f aca="false">IF(OR($D422="",$M422=""),"",IF(IFERROR(INDEX(Settings!$C$11:$C$19,MATCH($L422,Settings!$B$11:$B$19,0)),"Yes")="No","",MAX($M422,$O422)+Settings!$C$6))</f>
        <v/>
      </c>
      <c r="Q422" s="36" t="str">
        <f aca="true">IF($D422="","",IF(IFERROR(INDEX(Settings!$C$11:$C$19,MATCH($L422,Settings!$B$11:$B$19,0)),"Yes")="No","",IF($M422="",IF($N422="","",$N422-TODAY()),IF($P422="","",$P422-TODAY()))))</f>
        <v/>
      </c>
      <c r="R422" s="37" t="str">
        <f aca="true">IF($D422="","",IF(IFERROR(INDEX(Settings!$C$11:$C$19,MATCH($L422,Settings!$B$11:$B$19,0)),"Yes")="No","CLOSED",IF($M422="",IF($N422="","ON TRACK",IF($N422&lt;TODAY(),"OVERDUE",IF($N422-TODAY()&lt;=Settings!$C$5,"DUE SOON","ON TRACK"))),IF($P422&lt;=TODAY(),"FOLLOW-UP DUE","ON TRACK"))))</f>
        <v/>
      </c>
      <c r="S422" s="35"/>
      <c r="T422" s="35"/>
      <c r="U422" s="38"/>
      <c r="V422" s="34"/>
      <c r="W422" s="35" t="str">
        <f aca="false">IF(OR($R422="OVERDUE",$R422="DUE SOON",$R422="FOLLOW-UP DUE"),MAX(W$3:W421)+1,"")</f>
        <v/>
      </c>
    </row>
    <row r="423" customFormat="false" ht="15" hidden="false" customHeight="false" outlineLevel="0" collapsed="false">
      <c r="A423" s="33" t="str">
        <f aca="false">IF($D423="","","JOB-"&amp;TEXT(ROW()-3,"000"))</f>
        <v/>
      </c>
      <c r="B423" s="34"/>
      <c r="C423" s="35"/>
      <c r="D423" s="35"/>
      <c r="E423" s="35"/>
      <c r="F423" s="35"/>
      <c r="G423" s="33"/>
      <c r="H423" s="35"/>
      <c r="I423" s="35"/>
      <c r="J423" s="35"/>
      <c r="K423" s="33"/>
      <c r="L423" s="33"/>
      <c r="M423" s="34"/>
      <c r="N423" s="34"/>
      <c r="O423" s="34"/>
      <c r="P423" s="34" t="str">
        <f aca="false">IF(OR($D423="",$M423=""),"",IF(IFERROR(INDEX(Settings!$C$11:$C$19,MATCH($L423,Settings!$B$11:$B$19,0)),"Yes")="No","",MAX($M423,$O423)+Settings!$C$6))</f>
        <v/>
      </c>
      <c r="Q423" s="36" t="str">
        <f aca="true">IF($D423="","",IF(IFERROR(INDEX(Settings!$C$11:$C$19,MATCH($L423,Settings!$B$11:$B$19,0)),"Yes")="No","",IF($M423="",IF($N423="","",$N423-TODAY()),IF($P423="","",$P423-TODAY()))))</f>
        <v/>
      </c>
      <c r="R423" s="37" t="str">
        <f aca="true">IF($D423="","",IF(IFERROR(INDEX(Settings!$C$11:$C$19,MATCH($L423,Settings!$B$11:$B$19,0)),"Yes")="No","CLOSED",IF($M423="",IF($N423="","ON TRACK",IF($N423&lt;TODAY(),"OVERDUE",IF($N423-TODAY()&lt;=Settings!$C$5,"DUE SOON","ON TRACK"))),IF($P423&lt;=TODAY(),"FOLLOW-UP DUE","ON TRACK"))))</f>
        <v/>
      </c>
      <c r="S423" s="35"/>
      <c r="T423" s="35"/>
      <c r="U423" s="38"/>
      <c r="V423" s="34"/>
      <c r="W423" s="35" t="str">
        <f aca="false">IF(OR($R423="OVERDUE",$R423="DUE SOON",$R423="FOLLOW-UP DUE"),MAX(W$3:W422)+1,"")</f>
        <v/>
      </c>
    </row>
    <row r="424" customFormat="false" ht="15" hidden="false" customHeight="false" outlineLevel="0" collapsed="false">
      <c r="A424" s="33" t="str">
        <f aca="false">IF($D424="","","JOB-"&amp;TEXT(ROW()-3,"000"))</f>
        <v/>
      </c>
      <c r="B424" s="34"/>
      <c r="C424" s="35"/>
      <c r="D424" s="35"/>
      <c r="E424" s="35"/>
      <c r="F424" s="35"/>
      <c r="G424" s="33"/>
      <c r="H424" s="35"/>
      <c r="I424" s="35"/>
      <c r="J424" s="35"/>
      <c r="K424" s="33"/>
      <c r="L424" s="33"/>
      <c r="M424" s="34"/>
      <c r="N424" s="34"/>
      <c r="O424" s="34"/>
      <c r="P424" s="34" t="str">
        <f aca="false">IF(OR($D424="",$M424=""),"",IF(IFERROR(INDEX(Settings!$C$11:$C$19,MATCH($L424,Settings!$B$11:$B$19,0)),"Yes")="No","",MAX($M424,$O424)+Settings!$C$6))</f>
        <v/>
      </c>
      <c r="Q424" s="36" t="str">
        <f aca="true">IF($D424="","",IF(IFERROR(INDEX(Settings!$C$11:$C$19,MATCH($L424,Settings!$B$11:$B$19,0)),"Yes")="No","",IF($M424="",IF($N424="","",$N424-TODAY()),IF($P424="","",$P424-TODAY()))))</f>
        <v/>
      </c>
      <c r="R424" s="37" t="str">
        <f aca="true">IF($D424="","",IF(IFERROR(INDEX(Settings!$C$11:$C$19,MATCH($L424,Settings!$B$11:$B$19,0)),"Yes")="No","CLOSED",IF($M424="",IF($N424="","ON TRACK",IF($N424&lt;TODAY(),"OVERDUE",IF($N424-TODAY()&lt;=Settings!$C$5,"DUE SOON","ON TRACK"))),IF($P424&lt;=TODAY(),"FOLLOW-UP DUE","ON TRACK"))))</f>
        <v/>
      </c>
      <c r="S424" s="35"/>
      <c r="T424" s="35"/>
      <c r="U424" s="38"/>
      <c r="V424" s="34"/>
      <c r="W424" s="35" t="str">
        <f aca="false">IF(OR($R424="OVERDUE",$R424="DUE SOON",$R424="FOLLOW-UP DUE"),MAX(W$3:W423)+1,"")</f>
        <v/>
      </c>
    </row>
    <row r="425" customFormat="false" ht="15" hidden="false" customHeight="false" outlineLevel="0" collapsed="false">
      <c r="A425" s="33" t="str">
        <f aca="false">IF($D425="","","JOB-"&amp;TEXT(ROW()-3,"000"))</f>
        <v/>
      </c>
      <c r="B425" s="34"/>
      <c r="C425" s="35"/>
      <c r="D425" s="35"/>
      <c r="E425" s="35"/>
      <c r="F425" s="35"/>
      <c r="G425" s="33"/>
      <c r="H425" s="35"/>
      <c r="I425" s="35"/>
      <c r="J425" s="35"/>
      <c r="K425" s="33"/>
      <c r="L425" s="33"/>
      <c r="M425" s="34"/>
      <c r="N425" s="34"/>
      <c r="O425" s="34"/>
      <c r="P425" s="34" t="str">
        <f aca="false">IF(OR($D425="",$M425=""),"",IF(IFERROR(INDEX(Settings!$C$11:$C$19,MATCH($L425,Settings!$B$11:$B$19,0)),"Yes")="No","",MAX($M425,$O425)+Settings!$C$6))</f>
        <v/>
      </c>
      <c r="Q425" s="36" t="str">
        <f aca="true">IF($D425="","",IF(IFERROR(INDEX(Settings!$C$11:$C$19,MATCH($L425,Settings!$B$11:$B$19,0)),"Yes")="No","",IF($M425="",IF($N425="","",$N425-TODAY()),IF($P425="","",$P425-TODAY()))))</f>
        <v/>
      </c>
      <c r="R425" s="37" t="str">
        <f aca="true">IF($D425="","",IF(IFERROR(INDEX(Settings!$C$11:$C$19,MATCH($L425,Settings!$B$11:$B$19,0)),"Yes")="No","CLOSED",IF($M425="",IF($N425="","ON TRACK",IF($N425&lt;TODAY(),"OVERDUE",IF($N425-TODAY()&lt;=Settings!$C$5,"DUE SOON","ON TRACK"))),IF($P425&lt;=TODAY(),"FOLLOW-UP DUE","ON TRACK"))))</f>
        <v/>
      </c>
      <c r="S425" s="35"/>
      <c r="T425" s="35"/>
      <c r="U425" s="38"/>
      <c r="V425" s="34"/>
      <c r="W425" s="35" t="str">
        <f aca="false">IF(OR($R425="OVERDUE",$R425="DUE SOON",$R425="FOLLOW-UP DUE"),MAX(W$3:W424)+1,"")</f>
        <v/>
      </c>
    </row>
    <row r="426" customFormat="false" ht="15" hidden="false" customHeight="false" outlineLevel="0" collapsed="false">
      <c r="A426" s="33" t="str">
        <f aca="false">IF($D426="","","JOB-"&amp;TEXT(ROW()-3,"000"))</f>
        <v/>
      </c>
      <c r="B426" s="34"/>
      <c r="C426" s="35"/>
      <c r="D426" s="35"/>
      <c r="E426" s="35"/>
      <c r="F426" s="35"/>
      <c r="G426" s="33"/>
      <c r="H426" s="35"/>
      <c r="I426" s="35"/>
      <c r="J426" s="35"/>
      <c r="K426" s="33"/>
      <c r="L426" s="33"/>
      <c r="M426" s="34"/>
      <c r="N426" s="34"/>
      <c r="O426" s="34"/>
      <c r="P426" s="34" t="str">
        <f aca="false">IF(OR($D426="",$M426=""),"",IF(IFERROR(INDEX(Settings!$C$11:$C$19,MATCH($L426,Settings!$B$11:$B$19,0)),"Yes")="No","",MAX($M426,$O426)+Settings!$C$6))</f>
        <v/>
      </c>
      <c r="Q426" s="36" t="str">
        <f aca="true">IF($D426="","",IF(IFERROR(INDEX(Settings!$C$11:$C$19,MATCH($L426,Settings!$B$11:$B$19,0)),"Yes")="No","",IF($M426="",IF($N426="","",$N426-TODAY()),IF($P426="","",$P426-TODAY()))))</f>
        <v/>
      </c>
      <c r="R426" s="37" t="str">
        <f aca="true">IF($D426="","",IF(IFERROR(INDEX(Settings!$C$11:$C$19,MATCH($L426,Settings!$B$11:$B$19,0)),"Yes")="No","CLOSED",IF($M426="",IF($N426="","ON TRACK",IF($N426&lt;TODAY(),"OVERDUE",IF($N426-TODAY()&lt;=Settings!$C$5,"DUE SOON","ON TRACK"))),IF($P426&lt;=TODAY(),"FOLLOW-UP DUE","ON TRACK"))))</f>
        <v/>
      </c>
      <c r="S426" s="35"/>
      <c r="T426" s="35"/>
      <c r="U426" s="38"/>
      <c r="V426" s="34"/>
      <c r="W426" s="35" t="str">
        <f aca="false">IF(OR($R426="OVERDUE",$R426="DUE SOON",$R426="FOLLOW-UP DUE"),MAX(W$3:W425)+1,"")</f>
        <v/>
      </c>
    </row>
    <row r="427" customFormat="false" ht="15" hidden="false" customHeight="false" outlineLevel="0" collapsed="false">
      <c r="A427" s="33" t="str">
        <f aca="false">IF($D427="","","JOB-"&amp;TEXT(ROW()-3,"000"))</f>
        <v/>
      </c>
      <c r="B427" s="34"/>
      <c r="C427" s="35"/>
      <c r="D427" s="35"/>
      <c r="E427" s="35"/>
      <c r="F427" s="35"/>
      <c r="G427" s="33"/>
      <c r="H427" s="35"/>
      <c r="I427" s="35"/>
      <c r="J427" s="35"/>
      <c r="K427" s="33"/>
      <c r="L427" s="33"/>
      <c r="M427" s="34"/>
      <c r="N427" s="34"/>
      <c r="O427" s="34"/>
      <c r="P427" s="34" t="str">
        <f aca="false">IF(OR($D427="",$M427=""),"",IF(IFERROR(INDEX(Settings!$C$11:$C$19,MATCH($L427,Settings!$B$11:$B$19,0)),"Yes")="No","",MAX($M427,$O427)+Settings!$C$6))</f>
        <v/>
      </c>
      <c r="Q427" s="36" t="str">
        <f aca="true">IF($D427="","",IF(IFERROR(INDEX(Settings!$C$11:$C$19,MATCH($L427,Settings!$B$11:$B$19,0)),"Yes")="No","",IF($M427="",IF($N427="","",$N427-TODAY()),IF($P427="","",$P427-TODAY()))))</f>
        <v/>
      </c>
      <c r="R427" s="37" t="str">
        <f aca="true">IF($D427="","",IF(IFERROR(INDEX(Settings!$C$11:$C$19,MATCH($L427,Settings!$B$11:$B$19,0)),"Yes")="No","CLOSED",IF($M427="",IF($N427="","ON TRACK",IF($N427&lt;TODAY(),"OVERDUE",IF($N427-TODAY()&lt;=Settings!$C$5,"DUE SOON","ON TRACK"))),IF($P427&lt;=TODAY(),"FOLLOW-UP DUE","ON TRACK"))))</f>
        <v/>
      </c>
      <c r="S427" s="35"/>
      <c r="T427" s="35"/>
      <c r="U427" s="38"/>
      <c r="V427" s="34"/>
      <c r="W427" s="35" t="str">
        <f aca="false">IF(OR($R427="OVERDUE",$R427="DUE SOON",$R427="FOLLOW-UP DUE"),MAX(W$3:W426)+1,"")</f>
        <v/>
      </c>
    </row>
    <row r="428" customFormat="false" ht="15" hidden="false" customHeight="false" outlineLevel="0" collapsed="false">
      <c r="A428" s="33" t="str">
        <f aca="false">IF($D428="","","JOB-"&amp;TEXT(ROW()-3,"000"))</f>
        <v/>
      </c>
      <c r="B428" s="34"/>
      <c r="C428" s="35"/>
      <c r="D428" s="35"/>
      <c r="E428" s="35"/>
      <c r="F428" s="35"/>
      <c r="G428" s="33"/>
      <c r="H428" s="35"/>
      <c r="I428" s="35"/>
      <c r="J428" s="35"/>
      <c r="K428" s="33"/>
      <c r="L428" s="33"/>
      <c r="M428" s="34"/>
      <c r="N428" s="34"/>
      <c r="O428" s="34"/>
      <c r="P428" s="34" t="str">
        <f aca="false">IF(OR($D428="",$M428=""),"",IF(IFERROR(INDEX(Settings!$C$11:$C$19,MATCH($L428,Settings!$B$11:$B$19,0)),"Yes")="No","",MAX($M428,$O428)+Settings!$C$6))</f>
        <v/>
      </c>
      <c r="Q428" s="36" t="str">
        <f aca="true">IF($D428="","",IF(IFERROR(INDEX(Settings!$C$11:$C$19,MATCH($L428,Settings!$B$11:$B$19,0)),"Yes")="No","",IF($M428="",IF($N428="","",$N428-TODAY()),IF($P428="","",$P428-TODAY()))))</f>
        <v/>
      </c>
      <c r="R428" s="37" t="str">
        <f aca="true">IF($D428="","",IF(IFERROR(INDEX(Settings!$C$11:$C$19,MATCH($L428,Settings!$B$11:$B$19,0)),"Yes")="No","CLOSED",IF($M428="",IF($N428="","ON TRACK",IF($N428&lt;TODAY(),"OVERDUE",IF($N428-TODAY()&lt;=Settings!$C$5,"DUE SOON","ON TRACK"))),IF($P428&lt;=TODAY(),"FOLLOW-UP DUE","ON TRACK"))))</f>
        <v/>
      </c>
      <c r="S428" s="35"/>
      <c r="T428" s="35"/>
      <c r="U428" s="38"/>
      <c r="V428" s="34"/>
      <c r="W428" s="35" t="str">
        <f aca="false">IF(OR($R428="OVERDUE",$R428="DUE SOON",$R428="FOLLOW-UP DUE"),MAX(W$3:W427)+1,"")</f>
        <v/>
      </c>
    </row>
    <row r="429" customFormat="false" ht="15" hidden="false" customHeight="false" outlineLevel="0" collapsed="false">
      <c r="A429" s="33" t="str">
        <f aca="false">IF($D429="","","JOB-"&amp;TEXT(ROW()-3,"000"))</f>
        <v/>
      </c>
      <c r="B429" s="34"/>
      <c r="C429" s="35"/>
      <c r="D429" s="35"/>
      <c r="E429" s="35"/>
      <c r="F429" s="35"/>
      <c r="G429" s="33"/>
      <c r="H429" s="35"/>
      <c r="I429" s="35"/>
      <c r="J429" s="35"/>
      <c r="K429" s="33"/>
      <c r="L429" s="33"/>
      <c r="M429" s="34"/>
      <c r="N429" s="34"/>
      <c r="O429" s="34"/>
      <c r="P429" s="34" t="str">
        <f aca="false">IF(OR($D429="",$M429=""),"",IF(IFERROR(INDEX(Settings!$C$11:$C$19,MATCH($L429,Settings!$B$11:$B$19,0)),"Yes")="No","",MAX($M429,$O429)+Settings!$C$6))</f>
        <v/>
      </c>
      <c r="Q429" s="36" t="str">
        <f aca="true">IF($D429="","",IF(IFERROR(INDEX(Settings!$C$11:$C$19,MATCH($L429,Settings!$B$11:$B$19,0)),"Yes")="No","",IF($M429="",IF($N429="","",$N429-TODAY()),IF($P429="","",$P429-TODAY()))))</f>
        <v/>
      </c>
      <c r="R429" s="37" t="str">
        <f aca="true">IF($D429="","",IF(IFERROR(INDEX(Settings!$C$11:$C$19,MATCH($L429,Settings!$B$11:$B$19,0)),"Yes")="No","CLOSED",IF($M429="",IF($N429="","ON TRACK",IF($N429&lt;TODAY(),"OVERDUE",IF($N429-TODAY()&lt;=Settings!$C$5,"DUE SOON","ON TRACK"))),IF($P429&lt;=TODAY(),"FOLLOW-UP DUE","ON TRACK"))))</f>
        <v/>
      </c>
      <c r="S429" s="35"/>
      <c r="T429" s="35"/>
      <c r="U429" s="38"/>
      <c r="V429" s="34"/>
      <c r="W429" s="35" t="str">
        <f aca="false">IF(OR($R429="OVERDUE",$R429="DUE SOON",$R429="FOLLOW-UP DUE"),MAX(W$3:W428)+1,"")</f>
        <v/>
      </c>
    </row>
    <row r="430" customFormat="false" ht="15" hidden="false" customHeight="false" outlineLevel="0" collapsed="false">
      <c r="A430" s="33" t="str">
        <f aca="false">IF($D430="","","JOB-"&amp;TEXT(ROW()-3,"000"))</f>
        <v/>
      </c>
      <c r="B430" s="34"/>
      <c r="C430" s="35"/>
      <c r="D430" s="35"/>
      <c r="E430" s="35"/>
      <c r="F430" s="35"/>
      <c r="G430" s="33"/>
      <c r="H430" s="35"/>
      <c r="I430" s="35"/>
      <c r="J430" s="35"/>
      <c r="K430" s="33"/>
      <c r="L430" s="33"/>
      <c r="M430" s="34"/>
      <c r="N430" s="34"/>
      <c r="O430" s="34"/>
      <c r="P430" s="34" t="str">
        <f aca="false">IF(OR($D430="",$M430=""),"",IF(IFERROR(INDEX(Settings!$C$11:$C$19,MATCH($L430,Settings!$B$11:$B$19,0)),"Yes")="No","",MAX($M430,$O430)+Settings!$C$6))</f>
        <v/>
      </c>
      <c r="Q430" s="36" t="str">
        <f aca="true">IF($D430="","",IF(IFERROR(INDEX(Settings!$C$11:$C$19,MATCH($L430,Settings!$B$11:$B$19,0)),"Yes")="No","",IF($M430="",IF($N430="","",$N430-TODAY()),IF($P430="","",$P430-TODAY()))))</f>
        <v/>
      </c>
      <c r="R430" s="37" t="str">
        <f aca="true">IF($D430="","",IF(IFERROR(INDEX(Settings!$C$11:$C$19,MATCH($L430,Settings!$B$11:$B$19,0)),"Yes")="No","CLOSED",IF($M430="",IF($N430="","ON TRACK",IF($N430&lt;TODAY(),"OVERDUE",IF($N430-TODAY()&lt;=Settings!$C$5,"DUE SOON","ON TRACK"))),IF($P430&lt;=TODAY(),"FOLLOW-UP DUE","ON TRACK"))))</f>
        <v/>
      </c>
      <c r="S430" s="35"/>
      <c r="T430" s="35"/>
      <c r="U430" s="38"/>
      <c r="V430" s="34"/>
      <c r="W430" s="35" t="str">
        <f aca="false">IF(OR($R430="OVERDUE",$R430="DUE SOON",$R430="FOLLOW-UP DUE"),MAX(W$3:W429)+1,"")</f>
        <v/>
      </c>
    </row>
    <row r="431" customFormat="false" ht="15" hidden="false" customHeight="false" outlineLevel="0" collapsed="false">
      <c r="A431" s="33" t="str">
        <f aca="false">IF($D431="","","JOB-"&amp;TEXT(ROW()-3,"000"))</f>
        <v/>
      </c>
      <c r="B431" s="34"/>
      <c r="C431" s="35"/>
      <c r="D431" s="35"/>
      <c r="E431" s="35"/>
      <c r="F431" s="35"/>
      <c r="G431" s="33"/>
      <c r="H431" s="35"/>
      <c r="I431" s="35"/>
      <c r="J431" s="35"/>
      <c r="K431" s="33"/>
      <c r="L431" s="33"/>
      <c r="M431" s="34"/>
      <c r="N431" s="34"/>
      <c r="O431" s="34"/>
      <c r="P431" s="34" t="str">
        <f aca="false">IF(OR($D431="",$M431=""),"",IF(IFERROR(INDEX(Settings!$C$11:$C$19,MATCH($L431,Settings!$B$11:$B$19,0)),"Yes")="No","",MAX($M431,$O431)+Settings!$C$6))</f>
        <v/>
      </c>
      <c r="Q431" s="36" t="str">
        <f aca="true">IF($D431="","",IF(IFERROR(INDEX(Settings!$C$11:$C$19,MATCH($L431,Settings!$B$11:$B$19,0)),"Yes")="No","",IF($M431="",IF($N431="","",$N431-TODAY()),IF($P431="","",$P431-TODAY()))))</f>
        <v/>
      </c>
      <c r="R431" s="37" t="str">
        <f aca="true">IF($D431="","",IF(IFERROR(INDEX(Settings!$C$11:$C$19,MATCH($L431,Settings!$B$11:$B$19,0)),"Yes")="No","CLOSED",IF($M431="",IF($N431="","ON TRACK",IF($N431&lt;TODAY(),"OVERDUE",IF($N431-TODAY()&lt;=Settings!$C$5,"DUE SOON","ON TRACK"))),IF($P431&lt;=TODAY(),"FOLLOW-UP DUE","ON TRACK"))))</f>
        <v/>
      </c>
      <c r="S431" s="35"/>
      <c r="T431" s="35"/>
      <c r="U431" s="38"/>
      <c r="V431" s="34"/>
      <c r="W431" s="35" t="str">
        <f aca="false">IF(OR($R431="OVERDUE",$R431="DUE SOON",$R431="FOLLOW-UP DUE"),MAX(W$3:W430)+1,"")</f>
        <v/>
      </c>
    </row>
    <row r="432" customFormat="false" ht="15" hidden="false" customHeight="false" outlineLevel="0" collapsed="false">
      <c r="A432" s="33" t="str">
        <f aca="false">IF($D432="","","JOB-"&amp;TEXT(ROW()-3,"000"))</f>
        <v/>
      </c>
      <c r="B432" s="34"/>
      <c r="C432" s="35"/>
      <c r="D432" s="35"/>
      <c r="E432" s="35"/>
      <c r="F432" s="35"/>
      <c r="G432" s="33"/>
      <c r="H432" s="35"/>
      <c r="I432" s="35"/>
      <c r="J432" s="35"/>
      <c r="K432" s="33"/>
      <c r="L432" s="33"/>
      <c r="M432" s="34"/>
      <c r="N432" s="34"/>
      <c r="O432" s="34"/>
      <c r="P432" s="34" t="str">
        <f aca="false">IF(OR($D432="",$M432=""),"",IF(IFERROR(INDEX(Settings!$C$11:$C$19,MATCH($L432,Settings!$B$11:$B$19,0)),"Yes")="No","",MAX($M432,$O432)+Settings!$C$6))</f>
        <v/>
      </c>
      <c r="Q432" s="36" t="str">
        <f aca="true">IF($D432="","",IF(IFERROR(INDEX(Settings!$C$11:$C$19,MATCH($L432,Settings!$B$11:$B$19,0)),"Yes")="No","",IF($M432="",IF($N432="","",$N432-TODAY()),IF($P432="","",$P432-TODAY()))))</f>
        <v/>
      </c>
      <c r="R432" s="37" t="str">
        <f aca="true">IF($D432="","",IF(IFERROR(INDEX(Settings!$C$11:$C$19,MATCH($L432,Settings!$B$11:$B$19,0)),"Yes")="No","CLOSED",IF($M432="",IF($N432="","ON TRACK",IF($N432&lt;TODAY(),"OVERDUE",IF($N432-TODAY()&lt;=Settings!$C$5,"DUE SOON","ON TRACK"))),IF($P432&lt;=TODAY(),"FOLLOW-UP DUE","ON TRACK"))))</f>
        <v/>
      </c>
      <c r="S432" s="35"/>
      <c r="T432" s="35"/>
      <c r="U432" s="38"/>
      <c r="V432" s="34"/>
      <c r="W432" s="35" t="str">
        <f aca="false">IF(OR($R432="OVERDUE",$R432="DUE SOON",$R432="FOLLOW-UP DUE"),MAX(W$3:W431)+1,"")</f>
        <v/>
      </c>
    </row>
    <row r="433" customFormat="false" ht="15" hidden="false" customHeight="false" outlineLevel="0" collapsed="false">
      <c r="A433" s="33" t="str">
        <f aca="false">IF($D433="","","JOB-"&amp;TEXT(ROW()-3,"000"))</f>
        <v/>
      </c>
      <c r="B433" s="34"/>
      <c r="C433" s="35"/>
      <c r="D433" s="35"/>
      <c r="E433" s="35"/>
      <c r="F433" s="35"/>
      <c r="G433" s="33"/>
      <c r="H433" s="35"/>
      <c r="I433" s="35"/>
      <c r="J433" s="35"/>
      <c r="K433" s="33"/>
      <c r="L433" s="33"/>
      <c r="M433" s="34"/>
      <c r="N433" s="34"/>
      <c r="O433" s="34"/>
      <c r="P433" s="34" t="str">
        <f aca="false">IF(OR($D433="",$M433=""),"",IF(IFERROR(INDEX(Settings!$C$11:$C$19,MATCH($L433,Settings!$B$11:$B$19,0)),"Yes")="No","",MAX($M433,$O433)+Settings!$C$6))</f>
        <v/>
      </c>
      <c r="Q433" s="36" t="str">
        <f aca="true">IF($D433="","",IF(IFERROR(INDEX(Settings!$C$11:$C$19,MATCH($L433,Settings!$B$11:$B$19,0)),"Yes")="No","",IF($M433="",IF($N433="","",$N433-TODAY()),IF($P433="","",$P433-TODAY()))))</f>
        <v/>
      </c>
      <c r="R433" s="37" t="str">
        <f aca="true">IF($D433="","",IF(IFERROR(INDEX(Settings!$C$11:$C$19,MATCH($L433,Settings!$B$11:$B$19,0)),"Yes")="No","CLOSED",IF($M433="",IF($N433="","ON TRACK",IF($N433&lt;TODAY(),"OVERDUE",IF($N433-TODAY()&lt;=Settings!$C$5,"DUE SOON","ON TRACK"))),IF($P433&lt;=TODAY(),"FOLLOW-UP DUE","ON TRACK"))))</f>
        <v/>
      </c>
      <c r="S433" s="35"/>
      <c r="T433" s="35"/>
      <c r="U433" s="38"/>
      <c r="V433" s="34"/>
      <c r="W433" s="35" t="str">
        <f aca="false">IF(OR($R433="OVERDUE",$R433="DUE SOON",$R433="FOLLOW-UP DUE"),MAX(W$3:W432)+1,"")</f>
        <v/>
      </c>
    </row>
    <row r="434" customFormat="false" ht="15" hidden="false" customHeight="false" outlineLevel="0" collapsed="false">
      <c r="A434" s="33" t="str">
        <f aca="false">IF($D434="","","JOB-"&amp;TEXT(ROW()-3,"000"))</f>
        <v/>
      </c>
      <c r="B434" s="34"/>
      <c r="C434" s="35"/>
      <c r="D434" s="35"/>
      <c r="E434" s="35"/>
      <c r="F434" s="35"/>
      <c r="G434" s="33"/>
      <c r="H434" s="35"/>
      <c r="I434" s="35"/>
      <c r="J434" s="35"/>
      <c r="K434" s="33"/>
      <c r="L434" s="33"/>
      <c r="M434" s="34"/>
      <c r="N434" s="34"/>
      <c r="O434" s="34"/>
      <c r="P434" s="34" t="str">
        <f aca="false">IF(OR($D434="",$M434=""),"",IF(IFERROR(INDEX(Settings!$C$11:$C$19,MATCH($L434,Settings!$B$11:$B$19,0)),"Yes")="No","",MAX($M434,$O434)+Settings!$C$6))</f>
        <v/>
      </c>
      <c r="Q434" s="36" t="str">
        <f aca="true">IF($D434="","",IF(IFERROR(INDEX(Settings!$C$11:$C$19,MATCH($L434,Settings!$B$11:$B$19,0)),"Yes")="No","",IF($M434="",IF($N434="","",$N434-TODAY()),IF($P434="","",$P434-TODAY()))))</f>
        <v/>
      </c>
      <c r="R434" s="37" t="str">
        <f aca="true">IF($D434="","",IF(IFERROR(INDEX(Settings!$C$11:$C$19,MATCH($L434,Settings!$B$11:$B$19,0)),"Yes")="No","CLOSED",IF($M434="",IF($N434="","ON TRACK",IF($N434&lt;TODAY(),"OVERDUE",IF($N434-TODAY()&lt;=Settings!$C$5,"DUE SOON","ON TRACK"))),IF($P434&lt;=TODAY(),"FOLLOW-UP DUE","ON TRACK"))))</f>
        <v/>
      </c>
      <c r="S434" s="35"/>
      <c r="T434" s="35"/>
      <c r="U434" s="38"/>
      <c r="V434" s="34"/>
      <c r="W434" s="35" t="str">
        <f aca="false">IF(OR($R434="OVERDUE",$R434="DUE SOON",$R434="FOLLOW-UP DUE"),MAX(W$3:W433)+1,"")</f>
        <v/>
      </c>
    </row>
    <row r="435" customFormat="false" ht="15" hidden="false" customHeight="false" outlineLevel="0" collapsed="false">
      <c r="A435" s="33" t="str">
        <f aca="false">IF($D435="","","JOB-"&amp;TEXT(ROW()-3,"000"))</f>
        <v/>
      </c>
      <c r="B435" s="34"/>
      <c r="C435" s="35"/>
      <c r="D435" s="35"/>
      <c r="E435" s="35"/>
      <c r="F435" s="35"/>
      <c r="G435" s="33"/>
      <c r="H435" s="35"/>
      <c r="I435" s="35"/>
      <c r="J435" s="35"/>
      <c r="K435" s="33"/>
      <c r="L435" s="33"/>
      <c r="M435" s="34"/>
      <c r="N435" s="34"/>
      <c r="O435" s="34"/>
      <c r="P435" s="34" t="str">
        <f aca="false">IF(OR($D435="",$M435=""),"",IF(IFERROR(INDEX(Settings!$C$11:$C$19,MATCH($L435,Settings!$B$11:$B$19,0)),"Yes")="No","",MAX($M435,$O435)+Settings!$C$6))</f>
        <v/>
      </c>
      <c r="Q435" s="36" t="str">
        <f aca="true">IF($D435="","",IF(IFERROR(INDEX(Settings!$C$11:$C$19,MATCH($L435,Settings!$B$11:$B$19,0)),"Yes")="No","",IF($M435="",IF($N435="","",$N435-TODAY()),IF($P435="","",$P435-TODAY()))))</f>
        <v/>
      </c>
      <c r="R435" s="37" t="str">
        <f aca="true">IF($D435="","",IF(IFERROR(INDEX(Settings!$C$11:$C$19,MATCH($L435,Settings!$B$11:$B$19,0)),"Yes")="No","CLOSED",IF($M435="",IF($N435="","ON TRACK",IF($N435&lt;TODAY(),"OVERDUE",IF($N435-TODAY()&lt;=Settings!$C$5,"DUE SOON","ON TRACK"))),IF($P435&lt;=TODAY(),"FOLLOW-UP DUE","ON TRACK"))))</f>
        <v/>
      </c>
      <c r="S435" s="35"/>
      <c r="T435" s="35"/>
      <c r="U435" s="38"/>
      <c r="V435" s="34"/>
      <c r="W435" s="35" t="str">
        <f aca="false">IF(OR($R435="OVERDUE",$R435="DUE SOON",$R435="FOLLOW-UP DUE"),MAX(W$3:W434)+1,"")</f>
        <v/>
      </c>
    </row>
    <row r="436" customFormat="false" ht="15" hidden="false" customHeight="false" outlineLevel="0" collapsed="false">
      <c r="A436" s="33" t="str">
        <f aca="false">IF($D436="","","JOB-"&amp;TEXT(ROW()-3,"000"))</f>
        <v/>
      </c>
      <c r="B436" s="34"/>
      <c r="C436" s="35"/>
      <c r="D436" s="35"/>
      <c r="E436" s="35"/>
      <c r="F436" s="35"/>
      <c r="G436" s="33"/>
      <c r="H436" s="35"/>
      <c r="I436" s="35"/>
      <c r="J436" s="35"/>
      <c r="K436" s="33"/>
      <c r="L436" s="33"/>
      <c r="M436" s="34"/>
      <c r="N436" s="34"/>
      <c r="O436" s="34"/>
      <c r="P436" s="34" t="str">
        <f aca="false">IF(OR($D436="",$M436=""),"",IF(IFERROR(INDEX(Settings!$C$11:$C$19,MATCH($L436,Settings!$B$11:$B$19,0)),"Yes")="No","",MAX($M436,$O436)+Settings!$C$6))</f>
        <v/>
      </c>
      <c r="Q436" s="36" t="str">
        <f aca="true">IF($D436="","",IF(IFERROR(INDEX(Settings!$C$11:$C$19,MATCH($L436,Settings!$B$11:$B$19,0)),"Yes")="No","",IF($M436="",IF($N436="","",$N436-TODAY()),IF($P436="","",$P436-TODAY()))))</f>
        <v/>
      </c>
      <c r="R436" s="37" t="str">
        <f aca="true">IF($D436="","",IF(IFERROR(INDEX(Settings!$C$11:$C$19,MATCH($L436,Settings!$B$11:$B$19,0)),"Yes")="No","CLOSED",IF($M436="",IF($N436="","ON TRACK",IF($N436&lt;TODAY(),"OVERDUE",IF($N436-TODAY()&lt;=Settings!$C$5,"DUE SOON","ON TRACK"))),IF($P436&lt;=TODAY(),"FOLLOW-UP DUE","ON TRACK"))))</f>
        <v/>
      </c>
      <c r="S436" s="35"/>
      <c r="T436" s="35"/>
      <c r="U436" s="38"/>
      <c r="V436" s="34"/>
      <c r="W436" s="35" t="str">
        <f aca="false">IF(OR($R436="OVERDUE",$R436="DUE SOON",$R436="FOLLOW-UP DUE"),MAX(W$3:W435)+1,"")</f>
        <v/>
      </c>
    </row>
    <row r="437" customFormat="false" ht="15" hidden="false" customHeight="false" outlineLevel="0" collapsed="false">
      <c r="A437" s="33" t="str">
        <f aca="false">IF($D437="","","JOB-"&amp;TEXT(ROW()-3,"000"))</f>
        <v/>
      </c>
      <c r="B437" s="34"/>
      <c r="C437" s="35"/>
      <c r="D437" s="35"/>
      <c r="E437" s="35"/>
      <c r="F437" s="35"/>
      <c r="G437" s="33"/>
      <c r="H437" s="35"/>
      <c r="I437" s="35"/>
      <c r="J437" s="35"/>
      <c r="K437" s="33"/>
      <c r="L437" s="33"/>
      <c r="M437" s="34"/>
      <c r="N437" s="34"/>
      <c r="O437" s="34"/>
      <c r="P437" s="34" t="str">
        <f aca="false">IF(OR($D437="",$M437=""),"",IF(IFERROR(INDEX(Settings!$C$11:$C$19,MATCH($L437,Settings!$B$11:$B$19,0)),"Yes")="No","",MAX($M437,$O437)+Settings!$C$6))</f>
        <v/>
      </c>
      <c r="Q437" s="36" t="str">
        <f aca="true">IF($D437="","",IF(IFERROR(INDEX(Settings!$C$11:$C$19,MATCH($L437,Settings!$B$11:$B$19,0)),"Yes")="No","",IF($M437="",IF($N437="","",$N437-TODAY()),IF($P437="","",$P437-TODAY()))))</f>
        <v/>
      </c>
      <c r="R437" s="37" t="str">
        <f aca="true">IF($D437="","",IF(IFERROR(INDEX(Settings!$C$11:$C$19,MATCH($L437,Settings!$B$11:$B$19,0)),"Yes")="No","CLOSED",IF($M437="",IF($N437="","ON TRACK",IF($N437&lt;TODAY(),"OVERDUE",IF($N437-TODAY()&lt;=Settings!$C$5,"DUE SOON","ON TRACK"))),IF($P437&lt;=TODAY(),"FOLLOW-UP DUE","ON TRACK"))))</f>
        <v/>
      </c>
      <c r="S437" s="35"/>
      <c r="T437" s="35"/>
      <c r="U437" s="38"/>
      <c r="V437" s="34"/>
      <c r="W437" s="35" t="str">
        <f aca="false">IF(OR($R437="OVERDUE",$R437="DUE SOON",$R437="FOLLOW-UP DUE"),MAX(W$3:W436)+1,"")</f>
        <v/>
      </c>
    </row>
    <row r="438" customFormat="false" ht="15" hidden="false" customHeight="false" outlineLevel="0" collapsed="false">
      <c r="A438" s="33" t="str">
        <f aca="false">IF($D438="","","JOB-"&amp;TEXT(ROW()-3,"000"))</f>
        <v/>
      </c>
      <c r="B438" s="34"/>
      <c r="C438" s="35"/>
      <c r="D438" s="35"/>
      <c r="E438" s="35"/>
      <c r="F438" s="35"/>
      <c r="G438" s="33"/>
      <c r="H438" s="35"/>
      <c r="I438" s="35"/>
      <c r="J438" s="35"/>
      <c r="K438" s="33"/>
      <c r="L438" s="33"/>
      <c r="M438" s="34"/>
      <c r="N438" s="34"/>
      <c r="O438" s="34"/>
      <c r="P438" s="34" t="str">
        <f aca="false">IF(OR($D438="",$M438=""),"",IF(IFERROR(INDEX(Settings!$C$11:$C$19,MATCH($L438,Settings!$B$11:$B$19,0)),"Yes")="No","",MAX($M438,$O438)+Settings!$C$6))</f>
        <v/>
      </c>
      <c r="Q438" s="36" t="str">
        <f aca="true">IF($D438="","",IF(IFERROR(INDEX(Settings!$C$11:$C$19,MATCH($L438,Settings!$B$11:$B$19,0)),"Yes")="No","",IF($M438="",IF($N438="","",$N438-TODAY()),IF($P438="","",$P438-TODAY()))))</f>
        <v/>
      </c>
      <c r="R438" s="37" t="str">
        <f aca="true">IF($D438="","",IF(IFERROR(INDEX(Settings!$C$11:$C$19,MATCH($L438,Settings!$B$11:$B$19,0)),"Yes")="No","CLOSED",IF($M438="",IF($N438="","ON TRACK",IF($N438&lt;TODAY(),"OVERDUE",IF($N438-TODAY()&lt;=Settings!$C$5,"DUE SOON","ON TRACK"))),IF($P438&lt;=TODAY(),"FOLLOW-UP DUE","ON TRACK"))))</f>
        <v/>
      </c>
      <c r="S438" s="35"/>
      <c r="T438" s="35"/>
      <c r="U438" s="38"/>
      <c r="V438" s="34"/>
      <c r="W438" s="35" t="str">
        <f aca="false">IF(OR($R438="OVERDUE",$R438="DUE SOON",$R438="FOLLOW-UP DUE"),MAX(W$3:W437)+1,"")</f>
        <v/>
      </c>
    </row>
    <row r="439" customFormat="false" ht="15" hidden="false" customHeight="false" outlineLevel="0" collapsed="false">
      <c r="A439" s="33" t="str">
        <f aca="false">IF($D439="","","JOB-"&amp;TEXT(ROW()-3,"000"))</f>
        <v/>
      </c>
      <c r="B439" s="34"/>
      <c r="C439" s="35"/>
      <c r="D439" s="35"/>
      <c r="E439" s="35"/>
      <c r="F439" s="35"/>
      <c r="G439" s="33"/>
      <c r="H439" s="35"/>
      <c r="I439" s="35"/>
      <c r="J439" s="35"/>
      <c r="K439" s="33"/>
      <c r="L439" s="33"/>
      <c r="M439" s="34"/>
      <c r="N439" s="34"/>
      <c r="O439" s="34"/>
      <c r="P439" s="34" t="str">
        <f aca="false">IF(OR($D439="",$M439=""),"",IF(IFERROR(INDEX(Settings!$C$11:$C$19,MATCH($L439,Settings!$B$11:$B$19,0)),"Yes")="No","",MAX($M439,$O439)+Settings!$C$6))</f>
        <v/>
      </c>
      <c r="Q439" s="36" t="str">
        <f aca="true">IF($D439="","",IF(IFERROR(INDEX(Settings!$C$11:$C$19,MATCH($L439,Settings!$B$11:$B$19,0)),"Yes")="No","",IF($M439="",IF($N439="","",$N439-TODAY()),IF($P439="","",$P439-TODAY()))))</f>
        <v/>
      </c>
      <c r="R439" s="37" t="str">
        <f aca="true">IF($D439="","",IF(IFERROR(INDEX(Settings!$C$11:$C$19,MATCH($L439,Settings!$B$11:$B$19,0)),"Yes")="No","CLOSED",IF($M439="",IF($N439="","ON TRACK",IF($N439&lt;TODAY(),"OVERDUE",IF($N439-TODAY()&lt;=Settings!$C$5,"DUE SOON","ON TRACK"))),IF($P439&lt;=TODAY(),"FOLLOW-UP DUE","ON TRACK"))))</f>
        <v/>
      </c>
      <c r="S439" s="35"/>
      <c r="T439" s="35"/>
      <c r="U439" s="38"/>
      <c r="V439" s="34"/>
      <c r="W439" s="35" t="str">
        <f aca="false">IF(OR($R439="OVERDUE",$R439="DUE SOON",$R439="FOLLOW-UP DUE"),MAX(W$3:W438)+1,"")</f>
        <v/>
      </c>
    </row>
    <row r="440" customFormat="false" ht="15" hidden="false" customHeight="false" outlineLevel="0" collapsed="false">
      <c r="A440" s="33" t="str">
        <f aca="false">IF($D440="","","JOB-"&amp;TEXT(ROW()-3,"000"))</f>
        <v/>
      </c>
      <c r="B440" s="34"/>
      <c r="C440" s="35"/>
      <c r="D440" s="35"/>
      <c r="E440" s="35"/>
      <c r="F440" s="35"/>
      <c r="G440" s="33"/>
      <c r="H440" s="35"/>
      <c r="I440" s="35"/>
      <c r="J440" s="35"/>
      <c r="K440" s="33"/>
      <c r="L440" s="33"/>
      <c r="M440" s="34"/>
      <c r="N440" s="34"/>
      <c r="O440" s="34"/>
      <c r="P440" s="34" t="str">
        <f aca="false">IF(OR($D440="",$M440=""),"",IF(IFERROR(INDEX(Settings!$C$11:$C$19,MATCH($L440,Settings!$B$11:$B$19,0)),"Yes")="No","",MAX($M440,$O440)+Settings!$C$6))</f>
        <v/>
      </c>
      <c r="Q440" s="36" t="str">
        <f aca="true">IF($D440="","",IF(IFERROR(INDEX(Settings!$C$11:$C$19,MATCH($L440,Settings!$B$11:$B$19,0)),"Yes")="No","",IF($M440="",IF($N440="","",$N440-TODAY()),IF($P440="","",$P440-TODAY()))))</f>
        <v/>
      </c>
      <c r="R440" s="37" t="str">
        <f aca="true">IF($D440="","",IF(IFERROR(INDEX(Settings!$C$11:$C$19,MATCH($L440,Settings!$B$11:$B$19,0)),"Yes")="No","CLOSED",IF($M440="",IF($N440="","ON TRACK",IF($N440&lt;TODAY(),"OVERDUE",IF($N440-TODAY()&lt;=Settings!$C$5,"DUE SOON","ON TRACK"))),IF($P440&lt;=TODAY(),"FOLLOW-UP DUE","ON TRACK"))))</f>
        <v/>
      </c>
      <c r="S440" s="35"/>
      <c r="T440" s="35"/>
      <c r="U440" s="38"/>
      <c r="V440" s="34"/>
      <c r="W440" s="35" t="str">
        <f aca="false">IF(OR($R440="OVERDUE",$R440="DUE SOON",$R440="FOLLOW-UP DUE"),MAX(W$3:W439)+1,"")</f>
        <v/>
      </c>
    </row>
    <row r="441" customFormat="false" ht="15" hidden="false" customHeight="false" outlineLevel="0" collapsed="false">
      <c r="A441" s="33" t="str">
        <f aca="false">IF($D441="","","JOB-"&amp;TEXT(ROW()-3,"000"))</f>
        <v/>
      </c>
      <c r="B441" s="34"/>
      <c r="C441" s="35"/>
      <c r="D441" s="35"/>
      <c r="E441" s="35"/>
      <c r="F441" s="35"/>
      <c r="G441" s="33"/>
      <c r="H441" s="35"/>
      <c r="I441" s="35"/>
      <c r="J441" s="35"/>
      <c r="K441" s="33"/>
      <c r="L441" s="33"/>
      <c r="M441" s="34"/>
      <c r="N441" s="34"/>
      <c r="O441" s="34"/>
      <c r="P441" s="34" t="str">
        <f aca="false">IF(OR($D441="",$M441=""),"",IF(IFERROR(INDEX(Settings!$C$11:$C$19,MATCH($L441,Settings!$B$11:$B$19,0)),"Yes")="No","",MAX($M441,$O441)+Settings!$C$6))</f>
        <v/>
      </c>
      <c r="Q441" s="36" t="str">
        <f aca="true">IF($D441="","",IF(IFERROR(INDEX(Settings!$C$11:$C$19,MATCH($L441,Settings!$B$11:$B$19,0)),"Yes")="No","",IF($M441="",IF($N441="","",$N441-TODAY()),IF($P441="","",$P441-TODAY()))))</f>
        <v/>
      </c>
      <c r="R441" s="37" t="str">
        <f aca="true">IF($D441="","",IF(IFERROR(INDEX(Settings!$C$11:$C$19,MATCH($L441,Settings!$B$11:$B$19,0)),"Yes")="No","CLOSED",IF($M441="",IF($N441="","ON TRACK",IF($N441&lt;TODAY(),"OVERDUE",IF($N441-TODAY()&lt;=Settings!$C$5,"DUE SOON","ON TRACK"))),IF($P441&lt;=TODAY(),"FOLLOW-UP DUE","ON TRACK"))))</f>
        <v/>
      </c>
      <c r="S441" s="35"/>
      <c r="T441" s="35"/>
      <c r="U441" s="38"/>
      <c r="V441" s="34"/>
      <c r="W441" s="35" t="str">
        <f aca="false">IF(OR($R441="OVERDUE",$R441="DUE SOON",$R441="FOLLOW-UP DUE"),MAX(W$3:W440)+1,"")</f>
        <v/>
      </c>
    </row>
    <row r="442" customFormat="false" ht="15" hidden="false" customHeight="false" outlineLevel="0" collapsed="false">
      <c r="A442" s="33" t="str">
        <f aca="false">IF($D442="","","JOB-"&amp;TEXT(ROW()-3,"000"))</f>
        <v/>
      </c>
      <c r="B442" s="34"/>
      <c r="C442" s="35"/>
      <c r="D442" s="35"/>
      <c r="E442" s="35"/>
      <c r="F442" s="35"/>
      <c r="G442" s="33"/>
      <c r="H442" s="35"/>
      <c r="I442" s="35"/>
      <c r="J442" s="35"/>
      <c r="K442" s="33"/>
      <c r="L442" s="33"/>
      <c r="M442" s="34"/>
      <c r="N442" s="34"/>
      <c r="O442" s="34"/>
      <c r="P442" s="34" t="str">
        <f aca="false">IF(OR($D442="",$M442=""),"",IF(IFERROR(INDEX(Settings!$C$11:$C$19,MATCH($L442,Settings!$B$11:$B$19,0)),"Yes")="No","",MAX($M442,$O442)+Settings!$C$6))</f>
        <v/>
      </c>
      <c r="Q442" s="36" t="str">
        <f aca="true">IF($D442="","",IF(IFERROR(INDEX(Settings!$C$11:$C$19,MATCH($L442,Settings!$B$11:$B$19,0)),"Yes")="No","",IF($M442="",IF($N442="","",$N442-TODAY()),IF($P442="","",$P442-TODAY()))))</f>
        <v/>
      </c>
      <c r="R442" s="37" t="str">
        <f aca="true">IF($D442="","",IF(IFERROR(INDEX(Settings!$C$11:$C$19,MATCH($L442,Settings!$B$11:$B$19,0)),"Yes")="No","CLOSED",IF($M442="",IF($N442="","ON TRACK",IF($N442&lt;TODAY(),"OVERDUE",IF($N442-TODAY()&lt;=Settings!$C$5,"DUE SOON","ON TRACK"))),IF($P442&lt;=TODAY(),"FOLLOW-UP DUE","ON TRACK"))))</f>
        <v/>
      </c>
      <c r="S442" s="35"/>
      <c r="T442" s="35"/>
      <c r="U442" s="38"/>
      <c r="V442" s="34"/>
      <c r="W442" s="35" t="str">
        <f aca="false">IF(OR($R442="OVERDUE",$R442="DUE SOON",$R442="FOLLOW-UP DUE"),MAX(W$3:W441)+1,"")</f>
        <v/>
      </c>
    </row>
    <row r="443" customFormat="false" ht="15" hidden="false" customHeight="false" outlineLevel="0" collapsed="false">
      <c r="A443" s="33" t="str">
        <f aca="false">IF($D443="","","JOB-"&amp;TEXT(ROW()-3,"000"))</f>
        <v/>
      </c>
      <c r="B443" s="34"/>
      <c r="C443" s="35"/>
      <c r="D443" s="35"/>
      <c r="E443" s="35"/>
      <c r="F443" s="35"/>
      <c r="G443" s="33"/>
      <c r="H443" s="35"/>
      <c r="I443" s="35"/>
      <c r="J443" s="35"/>
      <c r="K443" s="33"/>
      <c r="L443" s="33"/>
      <c r="M443" s="34"/>
      <c r="N443" s="34"/>
      <c r="O443" s="34"/>
      <c r="P443" s="34" t="str">
        <f aca="false">IF(OR($D443="",$M443=""),"",IF(IFERROR(INDEX(Settings!$C$11:$C$19,MATCH($L443,Settings!$B$11:$B$19,0)),"Yes")="No","",MAX($M443,$O443)+Settings!$C$6))</f>
        <v/>
      </c>
      <c r="Q443" s="36" t="str">
        <f aca="true">IF($D443="","",IF(IFERROR(INDEX(Settings!$C$11:$C$19,MATCH($L443,Settings!$B$11:$B$19,0)),"Yes")="No","",IF($M443="",IF($N443="","",$N443-TODAY()),IF($P443="","",$P443-TODAY()))))</f>
        <v/>
      </c>
      <c r="R443" s="37" t="str">
        <f aca="true">IF($D443="","",IF(IFERROR(INDEX(Settings!$C$11:$C$19,MATCH($L443,Settings!$B$11:$B$19,0)),"Yes")="No","CLOSED",IF($M443="",IF($N443="","ON TRACK",IF($N443&lt;TODAY(),"OVERDUE",IF($N443-TODAY()&lt;=Settings!$C$5,"DUE SOON","ON TRACK"))),IF($P443&lt;=TODAY(),"FOLLOW-UP DUE","ON TRACK"))))</f>
        <v/>
      </c>
      <c r="S443" s="35"/>
      <c r="T443" s="35"/>
      <c r="U443" s="38"/>
      <c r="V443" s="34"/>
      <c r="W443" s="35" t="str">
        <f aca="false">IF(OR($R443="OVERDUE",$R443="DUE SOON",$R443="FOLLOW-UP DUE"),MAX(W$3:W442)+1,"")</f>
        <v/>
      </c>
    </row>
    <row r="444" customFormat="false" ht="15" hidden="false" customHeight="false" outlineLevel="0" collapsed="false">
      <c r="A444" s="33" t="str">
        <f aca="false">IF($D444="","","JOB-"&amp;TEXT(ROW()-3,"000"))</f>
        <v/>
      </c>
      <c r="B444" s="34"/>
      <c r="C444" s="35"/>
      <c r="D444" s="35"/>
      <c r="E444" s="35"/>
      <c r="F444" s="35"/>
      <c r="G444" s="33"/>
      <c r="H444" s="35"/>
      <c r="I444" s="35"/>
      <c r="J444" s="35"/>
      <c r="K444" s="33"/>
      <c r="L444" s="33"/>
      <c r="M444" s="34"/>
      <c r="N444" s="34"/>
      <c r="O444" s="34"/>
      <c r="P444" s="34" t="str">
        <f aca="false">IF(OR($D444="",$M444=""),"",IF(IFERROR(INDEX(Settings!$C$11:$C$19,MATCH($L444,Settings!$B$11:$B$19,0)),"Yes")="No","",MAX($M444,$O444)+Settings!$C$6))</f>
        <v/>
      </c>
      <c r="Q444" s="36" t="str">
        <f aca="true">IF($D444="","",IF(IFERROR(INDEX(Settings!$C$11:$C$19,MATCH($L444,Settings!$B$11:$B$19,0)),"Yes")="No","",IF($M444="",IF($N444="","",$N444-TODAY()),IF($P444="","",$P444-TODAY()))))</f>
        <v/>
      </c>
      <c r="R444" s="37" t="str">
        <f aca="true">IF($D444="","",IF(IFERROR(INDEX(Settings!$C$11:$C$19,MATCH($L444,Settings!$B$11:$B$19,0)),"Yes")="No","CLOSED",IF($M444="",IF($N444="","ON TRACK",IF($N444&lt;TODAY(),"OVERDUE",IF($N444-TODAY()&lt;=Settings!$C$5,"DUE SOON","ON TRACK"))),IF($P444&lt;=TODAY(),"FOLLOW-UP DUE","ON TRACK"))))</f>
        <v/>
      </c>
      <c r="S444" s="35"/>
      <c r="T444" s="35"/>
      <c r="U444" s="38"/>
      <c r="V444" s="34"/>
      <c r="W444" s="35" t="str">
        <f aca="false">IF(OR($R444="OVERDUE",$R444="DUE SOON",$R444="FOLLOW-UP DUE"),MAX(W$3:W443)+1,"")</f>
        <v/>
      </c>
    </row>
    <row r="445" customFormat="false" ht="15" hidden="false" customHeight="false" outlineLevel="0" collapsed="false">
      <c r="A445" s="33" t="str">
        <f aca="false">IF($D445="","","JOB-"&amp;TEXT(ROW()-3,"000"))</f>
        <v/>
      </c>
      <c r="B445" s="34"/>
      <c r="C445" s="35"/>
      <c r="D445" s="35"/>
      <c r="E445" s="35"/>
      <c r="F445" s="35"/>
      <c r="G445" s="33"/>
      <c r="H445" s="35"/>
      <c r="I445" s="35"/>
      <c r="J445" s="35"/>
      <c r="K445" s="33"/>
      <c r="L445" s="33"/>
      <c r="M445" s="34"/>
      <c r="N445" s="34"/>
      <c r="O445" s="34"/>
      <c r="P445" s="34" t="str">
        <f aca="false">IF(OR($D445="",$M445=""),"",IF(IFERROR(INDEX(Settings!$C$11:$C$19,MATCH($L445,Settings!$B$11:$B$19,0)),"Yes")="No","",MAX($M445,$O445)+Settings!$C$6))</f>
        <v/>
      </c>
      <c r="Q445" s="36" t="str">
        <f aca="true">IF($D445="","",IF(IFERROR(INDEX(Settings!$C$11:$C$19,MATCH($L445,Settings!$B$11:$B$19,0)),"Yes")="No","",IF($M445="",IF($N445="","",$N445-TODAY()),IF($P445="","",$P445-TODAY()))))</f>
        <v/>
      </c>
      <c r="R445" s="37" t="str">
        <f aca="true">IF($D445="","",IF(IFERROR(INDEX(Settings!$C$11:$C$19,MATCH($L445,Settings!$B$11:$B$19,0)),"Yes")="No","CLOSED",IF($M445="",IF($N445="","ON TRACK",IF($N445&lt;TODAY(),"OVERDUE",IF($N445-TODAY()&lt;=Settings!$C$5,"DUE SOON","ON TRACK"))),IF($P445&lt;=TODAY(),"FOLLOW-UP DUE","ON TRACK"))))</f>
        <v/>
      </c>
      <c r="S445" s="35"/>
      <c r="T445" s="35"/>
      <c r="U445" s="38"/>
      <c r="V445" s="34"/>
      <c r="W445" s="35" t="str">
        <f aca="false">IF(OR($R445="OVERDUE",$R445="DUE SOON",$R445="FOLLOW-UP DUE"),MAX(W$3:W444)+1,"")</f>
        <v/>
      </c>
    </row>
    <row r="446" customFormat="false" ht="15" hidden="false" customHeight="false" outlineLevel="0" collapsed="false">
      <c r="A446" s="33" t="str">
        <f aca="false">IF($D446="","","JOB-"&amp;TEXT(ROW()-3,"000"))</f>
        <v/>
      </c>
      <c r="B446" s="34"/>
      <c r="C446" s="35"/>
      <c r="D446" s="35"/>
      <c r="E446" s="35"/>
      <c r="F446" s="35"/>
      <c r="G446" s="33"/>
      <c r="H446" s="35"/>
      <c r="I446" s="35"/>
      <c r="J446" s="35"/>
      <c r="K446" s="33"/>
      <c r="L446" s="33"/>
      <c r="M446" s="34"/>
      <c r="N446" s="34"/>
      <c r="O446" s="34"/>
      <c r="P446" s="34" t="str">
        <f aca="false">IF(OR($D446="",$M446=""),"",IF(IFERROR(INDEX(Settings!$C$11:$C$19,MATCH($L446,Settings!$B$11:$B$19,0)),"Yes")="No","",MAX($M446,$O446)+Settings!$C$6))</f>
        <v/>
      </c>
      <c r="Q446" s="36" t="str">
        <f aca="true">IF($D446="","",IF(IFERROR(INDEX(Settings!$C$11:$C$19,MATCH($L446,Settings!$B$11:$B$19,0)),"Yes")="No","",IF($M446="",IF($N446="","",$N446-TODAY()),IF($P446="","",$P446-TODAY()))))</f>
        <v/>
      </c>
      <c r="R446" s="37" t="str">
        <f aca="true">IF($D446="","",IF(IFERROR(INDEX(Settings!$C$11:$C$19,MATCH($L446,Settings!$B$11:$B$19,0)),"Yes")="No","CLOSED",IF($M446="",IF($N446="","ON TRACK",IF($N446&lt;TODAY(),"OVERDUE",IF($N446-TODAY()&lt;=Settings!$C$5,"DUE SOON","ON TRACK"))),IF($P446&lt;=TODAY(),"FOLLOW-UP DUE","ON TRACK"))))</f>
        <v/>
      </c>
      <c r="S446" s="35"/>
      <c r="T446" s="35"/>
      <c r="U446" s="38"/>
      <c r="V446" s="34"/>
      <c r="W446" s="35" t="str">
        <f aca="false">IF(OR($R446="OVERDUE",$R446="DUE SOON",$R446="FOLLOW-UP DUE"),MAX(W$3:W445)+1,"")</f>
        <v/>
      </c>
    </row>
    <row r="447" customFormat="false" ht="15" hidden="false" customHeight="false" outlineLevel="0" collapsed="false">
      <c r="A447" s="33" t="str">
        <f aca="false">IF($D447="","","JOB-"&amp;TEXT(ROW()-3,"000"))</f>
        <v/>
      </c>
      <c r="B447" s="34"/>
      <c r="C447" s="35"/>
      <c r="D447" s="35"/>
      <c r="E447" s="35"/>
      <c r="F447" s="35"/>
      <c r="G447" s="33"/>
      <c r="H447" s="35"/>
      <c r="I447" s="35"/>
      <c r="J447" s="35"/>
      <c r="K447" s="33"/>
      <c r="L447" s="33"/>
      <c r="M447" s="34"/>
      <c r="N447" s="34"/>
      <c r="O447" s="34"/>
      <c r="P447" s="34" t="str">
        <f aca="false">IF(OR($D447="",$M447=""),"",IF(IFERROR(INDEX(Settings!$C$11:$C$19,MATCH($L447,Settings!$B$11:$B$19,0)),"Yes")="No","",MAX($M447,$O447)+Settings!$C$6))</f>
        <v/>
      </c>
      <c r="Q447" s="36" t="str">
        <f aca="true">IF($D447="","",IF(IFERROR(INDEX(Settings!$C$11:$C$19,MATCH($L447,Settings!$B$11:$B$19,0)),"Yes")="No","",IF($M447="",IF($N447="","",$N447-TODAY()),IF($P447="","",$P447-TODAY()))))</f>
        <v/>
      </c>
      <c r="R447" s="37" t="str">
        <f aca="true">IF($D447="","",IF(IFERROR(INDEX(Settings!$C$11:$C$19,MATCH($L447,Settings!$B$11:$B$19,0)),"Yes")="No","CLOSED",IF($M447="",IF($N447="","ON TRACK",IF($N447&lt;TODAY(),"OVERDUE",IF($N447-TODAY()&lt;=Settings!$C$5,"DUE SOON","ON TRACK"))),IF($P447&lt;=TODAY(),"FOLLOW-UP DUE","ON TRACK"))))</f>
        <v/>
      </c>
      <c r="S447" s="35"/>
      <c r="T447" s="35"/>
      <c r="U447" s="38"/>
      <c r="V447" s="34"/>
      <c r="W447" s="35" t="str">
        <f aca="false">IF(OR($R447="OVERDUE",$R447="DUE SOON",$R447="FOLLOW-UP DUE"),MAX(W$3:W446)+1,"")</f>
        <v/>
      </c>
    </row>
    <row r="448" customFormat="false" ht="15" hidden="false" customHeight="false" outlineLevel="0" collapsed="false">
      <c r="A448" s="33" t="str">
        <f aca="false">IF($D448="","","JOB-"&amp;TEXT(ROW()-3,"000"))</f>
        <v/>
      </c>
      <c r="B448" s="34"/>
      <c r="C448" s="35"/>
      <c r="D448" s="35"/>
      <c r="E448" s="35"/>
      <c r="F448" s="35"/>
      <c r="G448" s="33"/>
      <c r="H448" s="35"/>
      <c r="I448" s="35"/>
      <c r="J448" s="35"/>
      <c r="K448" s="33"/>
      <c r="L448" s="33"/>
      <c r="M448" s="34"/>
      <c r="N448" s="34"/>
      <c r="O448" s="34"/>
      <c r="P448" s="34" t="str">
        <f aca="false">IF(OR($D448="",$M448=""),"",IF(IFERROR(INDEX(Settings!$C$11:$C$19,MATCH($L448,Settings!$B$11:$B$19,0)),"Yes")="No","",MAX($M448,$O448)+Settings!$C$6))</f>
        <v/>
      </c>
      <c r="Q448" s="36" t="str">
        <f aca="true">IF($D448="","",IF(IFERROR(INDEX(Settings!$C$11:$C$19,MATCH($L448,Settings!$B$11:$B$19,0)),"Yes")="No","",IF($M448="",IF($N448="","",$N448-TODAY()),IF($P448="","",$P448-TODAY()))))</f>
        <v/>
      </c>
      <c r="R448" s="37" t="str">
        <f aca="true">IF($D448="","",IF(IFERROR(INDEX(Settings!$C$11:$C$19,MATCH($L448,Settings!$B$11:$B$19,0)),"Yes")="No","CLOSED",IF($M448="",IF($N448="","ON TRACK",IF($N448&lt;TODAY(),"OVERDUE",IF($N448-TODAY()&lt;=Settings!$C$5,"DUE SOON","ON TRACK"))),IF($P448&lt;=TODAY(),"FOLLOW-UP DUE","ON TRACK"))))</f>
        <v/>
      </c>
      <c r="S448" s="35"/>
      <c r="T448" s="35"/>
      <c r="U448" s="38"/>
      <c r="V448" s="34"/>
      <c r="W448" s="35" t="str">
        <f aca="false">IF(OR($R448="OVERDUE",$R448="DUE SOON",$R448="FOLLOW-UP DUE"),MAX(W$3:W447)+1,"")</f>
        <v/>
      </c>
    </row>
    <row r="449" customFormat="false" ht="15" hidden="false" customHeight="false" outlineLevel="0" collapsed="false">
      <c r="A449" s="33" t="str">
        <f aca="false">IF($D449="","","JOB-"&amp;TEXT(ROW()-3,"000"))</f>
        <v/>
      </c>
      <c r="B449" s="34"/>
      <c r="C449" s="35"/>
      <c r="D449" s="35"/>
      <c r="E449" s="35"/>
      <c r="F449" s="35"/>
      <c r="G449" s="33"/>
      <c r="H449" s="35"/>
      <c r="I449" s="35"/>
      <c r="J449" s="35"/>
      <c r="K449" s="33"/>
      <c r="L449" s="33"/>
      <c r="M449" s="34"/>
      <c r="N449" s="34"/>
      <c r="O449" s="34"/>
      <c r="P449" s="34" t="str">
        <f aca="false">IF(OR($D449="",$M449=""),"",IF(IFERROR(INDEX(Settings!$C$11:$C$19,MATCH($L449,Settings!$B$11:$B$19,0)),"Yes")="No","",MAX($M449,$O449)+Settings!$C$6))</f>
        <v/>
      </c>
      <c r="Q449" s="36" t="str">
        <f aca="true">IF($D449="","",IF(IFERROR(INDEX(Settings!$C$11:$C$19,MATCH($L449,Settings!$B$11:$B$19,0)),"Yes")="No","",IF($M449="",IF($N449="","",$N449-TODAY()),IF($P449="","",$P449-TODAY()))))</f>
        <v/>
      </c>
      <c r="R449" s="37" t="str">
        <f aca="true">IF($D449="","",IF(IFERROR(INDEX(Settings!$C$11:$C$19,MATCH($L449,Settings!$B$11:$B$19,0)),"Yes")="No","CLOSED",IF($M449="",IF($N449="","ON TRACK",IF($N449&lt;TODAY(),"OVERDUE",IF($N449-TODAY()&lt;=Settings!$C$5,"DUE SOON","ON TRACK"))),IF($P449&lt;=TODAY(),"FOLLOW-UP DUE","ON TRACK"))))</f>
        <v/>
      </c>
      <c r="S449" s="35"/>
      <c r="T449" s="35"/>
      <c r="U449" s="38"/>
      <c r="V449" s="34"/>
      <c r="W449" s="35" t="str">
        <f aca="false">IF(OR($R449="OVERDUE",$R449="DUE SOON",$R449="FOLLOW-UP DUE"),MAX(W$3:W448)+1,"")</f>
        <v/>
      </c>
    </row>
    <row r="450" customFormat="false" ht="15" hidden="false" customHeight="false" outlineLevel="0" collapsed="false">
      <c r="A450" s="33" t="str">
        <f aca="false">IF($D450="","","JOB-"&amp;TEXT(ROW()-3,"000"))</f>
        <v/>
      </c>
      <c r="B450" s="34"/>
      <c r="C450" s="35"/>
      <c r="D450" s="35"/>
      <c r="E450" s="35"/>
      <c r="F450" s="35"/>
      <c r="G450" s="33"/>
      <c r="H450" s="35"/>
      <c r="I450" s="35"/>
      <c r="J450" s="35"/>
      <c r="K450" s="33"/>
      <c r="L450" s="33"/>
      <c r="M450" s="34"/>
      <c r="N450" s="34"/>
      <c r="O450" s="34"/>
      <c r="P450" s="34" t="str">
        <f aca="false">IF(OR($D450="",$M450=""),"",IF(IFERROR(INDEX(Settings!$C$11:$C$19,MATCH($L450,Settings!$B$11:$B$19,0)),"Yes")="No","",MAX($M450,$O450)+Settings!$C$6))</f>
        <v/>
      </c>
      <c r="Q450" s="36" t="str">
        <f aca="true">IF($D450="","",IF(IFERROR(INDEX(Settings!$C$11:$C$19,MATCH($L450,Settings!$B$11:$B$19,0)),"Yes")="No","",IF($M450="",IF($N450="","",$N450-TODAY()),IF($P450="","",$P450-TODAY()))))</f>
        <v/>
      </c>
      <c r="R450" s="37" t="str">
        <f aca="true">IF($D450="","",IF(IFERROR(INDEX(Settings!$C$11:$C$19,MATCH($L450,Settings!$B$11:$B$19,0)),"Yes")="No","CLOSED",IF($M450="",IF($N450="","ON TRACK",IF($N450&lt;TODAY(),"OVERDUE",IF($N450-TODAY()&lt;=Settings!$C$5,"DUE SOON","ON TRACK"))),IF($P450&lt;=TODAY(),"FOLLOW-UP DUE","ON TRACK"))))</f>
        <v/>
      </c>
      <c r="S450" s="35"/>
      <c r="T450" s="35"/>
      <c r="U450" s="38"/>
      <c r="V450" s="34"/>
      <c r="W450" s="35" t="str">
        <f aca="false">IF(OR($R450="OVERDUE",$R450="DUE SOON",$R450="FOLLOW-UP DUE"),MAX(W$3:W449)+1,"")</f>
        <v/>
      </c>
    </row>
    <row r="451" customFormat="false" ht="15" hidden="false" customHeight="false" outlineLevel="0" collapsed="false">
      <c r="A451" s="33" t="str">
        <f aca="false">IF($D451="","","JOB-"&amp;TEXT(ROW()-3,"000"))</f>
        <v/>
      </c>
      <c r="B451" s="34"/>
      <c r="C451" s="35"/>
      <c r="D451" s="35"/>
      <c r="E451" s="35"/>
      <c r="F451" s="35"/>
      <c r="G451" s="33"/>
      <c r="H451" s="35"/>
      <c r="I451" s="35"/>
      <c r="J451" s="35"/>
      <c r="K451" s="33"/>
      <c r="L451" s="33"/>
      <c r="M451" s="34"/>
      <c r="N451" s="34"/>
      <c r="O451" s="34"/>
      <c r="P451" s="34" t="str">
        <f aca="false">IF(OR($D451="",$M451=""),"",IF(IFERROR(INDEX(Settings!$C$11:$C$19,MATCH($L451,Settings!$B$11:$B$19,0)),"Yes")="No","",MAX($M451,$O451)+Settings!$C$6))</f>
        <v/>
      </c>
      <c r="Q451" s="36" t="str">
        <f aca="true">IF($D451="","",IF(IFERROR(INDEX(Settings!$C$11:$C$19,MATCH($L451,Settings!$B$11:$B$19,0)),"Yes")="No","",IF($M451="",IF($N451="","",$N451-TODAY()),IF($P451="","",$P451-TODAY()))))</f>
        <v/>
      </c>
      <c r="R451" s="37" t="str">
        <f aca="true">IF($D451="","",IF(IFERROR(INDEX(Settings!$C$11:$C$19,MATCH($L451,Settings!$B$11:$B$19,0)),"Yes")="No","CLOSED",IF($M451="",IF($N451="","ON TRACK",IF($N451&lt;TODAY(),"OVERDUE",IF($N451-TODAY()&lt;=Settings!$C$5,"DUE SOON","ON TRACK"))),IF($P451&lt;=TODAY(),"FOLLOW-UP DUE","ON TRACK"))))</f>
        <v/>
      </c>
      <c r="S451" s="35"/>
      <c r="T451" s="35"/>
      <c r="U451" s="38"/>
      <c r="V451" s="34"/>
      <c r="W451" s="35" t="str">
        <f aca="false">IF(OR($R451="OVERDUE",$R451="DUE SOON",$R451="FOLLOW-UP DUE"),MAX(W$3:W450)+1,"")</f>
        <v/>
      </c>
    </row>
    <row r="452" customFormat="false" ht="15" hidden="false" customHeight="false" outlineLevel="0" collapsed="false">
      <c r="A452" s="33" t="str">
        <f aca="false">IF($D452="","","JOB-"&amp;TEXT(ROW()-3,"000"))</f>
        <v/>
      </c>
      <c r="B452" s="34"/>
      <c r="C452" s="35"/>
      <c r="D452" s="35"/>
      <c r="E452" s="35"/>
      <c r="F452" s="35"/>
      <c r="G452" s="33"/>
      <c r="H452" s="35"/>
      <c r="I452" s="35"/>
      <c r="J452" s="35"/>
      <c r="K452" s="33"/>
      <c r="L452" s="33"/>
      <c r="M452" s="34"/>
      <c r="N452" s="34"/>
      <c r="O452" s="34"/>
      <c r="P452" s="34" t="str">
        <f aca="false">IF(OR($D452="",$M452=""),"",IF(IFERROR(INDEX(Settings!$C$11:$C$19,MATCH($L452,Settings!$B$11:$B$19,0)),"Yes")="No","",MAX($M452,$O452)+Settings!$C$6))</f>
        <v/>
      </c>
      <c r="Q452" s="36" t="str">
        <f aca="true">IF($D452="","",IF(IFERROR(INDEX(Settings!$C$11:$C$19,MATCH($L452,Settings!$B$11:$B$19,0)),"Yes")="No","",IF($M452="",IF($N452="","",$N452-TODAY()),IF($P452="","",$P452-TODAY()))))</f>
        <v/>
      </c>
      <c r="R452" s="37" t="str">
        <f aca="true">IF($D452="","",IF(IFERROR(INDEX(Settings!$C$11:$C$19,MATCH($L452,Settings!$B$11:$B$19,0)),"Yes")="No","CLOSED",IF($M452="",IF($N452="","ON TRACK",IF($N452&lt;TODAY(),"OVERDUE",IF($N452-TODAY()&lt;=Settings!$C$5,"DUE SOON","ON TRACK"))),IF($P452&lt;=TODAY(),"FOLLOW-UP DUE","ON TRACK"))))</f>
        <v/>
      </c>
      <c r="S452" s="35"/>
      <c r="T452" s="35"/>
      <c r="U452" s="38"/>
      <c r="V452" s="34"/>
      <c r="W452" s="35" t="str">
        <f aca="false">IF(OR($R452="OVERDUE",$R452="DUE SOON",$R452="FOLLOW-UP DUE"),MAX(W$3:W451)+1,"")</f>
        <v/>
      </c>
    </row>
    <row r="453" customFormat="false" ht="15" hidden="false" customHeight="false" outlineLevel="0" collapsed="false">
      <c r="A453" s="33" t="str">
        <f aca="false">IF($D453="","","JOB-"&amp;TEXT(ROW()-3,"000"))</f>
        <v/>
      </c>
      <c r="B453" s="34"/>
      <c r="C453" s="35"/>
      <c r="D453" s="35"/>
      <c r="E453" s="35"/>
      <c r="F453" s="35"/>
      <c r="G453" s="33"/>
      <c r="H453" s="35"/>
      <c r="I453" s="35"/>
      <c r="J453" s="35"/>
      <c r="K453" s="33"/>
      <c r="L453" s="33"/>
      <c r="M453" s="34"/>
      <c r="N453" s="34"/>
      <c r="O453" s="34"/>
      <c r="P453" s="34" t="str">
        <f aca="false">IF(OR($D453="",$M453=""),"",IF(IFERROR(INDEX(Settings!$C$11:$C$19,MATCH($L453,Settings!$B$11:$B$19,0)),"Yes")="No","",MAX($M453,$O453)+Settings!$C$6))</f>
        <v/>
      </c>
      <c r="Q453" s="36" t="str">
        <f aca="true">IF($D453="","",IF(IFERROR(INDEX(Settings!$C$11:$C$19,MATCH($L453,Settings!$B$11:$B$19,0)),"Yes")="No","",IF($M453="",IF($N453="","",$N453-TODAY()),IF($P453="","",$P453-TODAY()))))</f>
        <v/>
      </c>
      <c r="R453" s="37" t="str">
        <f aca="true">IF($D453="","",IF(IFERROR(INDEX(Settings!$C$11:$C$19,MATCH($L453,Settings!$B$11:$B$19,0)),"Yes")="No","CLOSED",IF($M453="",IF($N453="","ON TRACK",IF($N453&lt;TODAY(),"OVERDUE",IF($N453-TODAY()&lt;=Settings!$C$5,"DUE SOON","ON TRACK"))),IF($P453&lt;=TODAY(),"FOLLOW-UP DUE","ON TRACK"))))</f>
        <v/>
      </c>
      <c r="S453" s="35"/>
      <c r="T453" s="35"/>
      <c r="U453" s="38"/>
      <c r="V453" s="34"/>
      <c r="W453" s="35" t="str">
        <f aca="false">IF(OR($R453="OVERDUE",$R453="DUE SOON",$R453="FOLLOW-UP DUE"),MAX(W$3:W452)+1,"")</f>
        <v/>
      </c>
    </row>
    <row r="454" customFormat="false" ht="15" hidden="false" customHeight="false" outlineLevel="0" collapsed="false">
      <c r="A454" s="33" t="str">
        <f aca="false">IF($D454="","","JOB-"&amp;TEXT(ROW()-3,"000"))</f>
        <v/>
      </c>
      <c r="B454" s="34"/>
      <c r="C454" s="35"/>
      <c r="D454" s="35"/>
      <c r="E454" s="35"/>
      <c r="F454" s="35"/>
      <c r="G454" s="33"/>
      <c r="H454" s="35"/>
      <c r="I454" s="35"/>
      <c r="J454" s="35"/>
      <c r="K454" s="33"/>
      <c r="L454" s="33"/>
      <c r="M454" s="34"/>
      <c r="N454" s="34"/>
      <c r="O454" s="34"/>
      <c r="P454" s="34" t="str">
        <f aca="false">IF(OR($D454="",$M454=""),"",IF(IFERROR(INDEX(Settings!$C$11:$C$19,MATCH($L454,Settings!$B$11:$B$19,0)),"Yes")="No","",MAX($M454,$O454)+Settings!$C$6))</f>
        <v/>
      </c>
      <c r="Q454" s="36" t="str">
        <f aca="true">IF($D454="","",IF(IFERROR(INDEX(Settings!$C$11:$C$19,MATCH($L454,Settings!$B$11:$B$19,0)),"Yes")="No","",IF($M454="",IF($N454="","",$N454-TODAY()),IF($P454="","",$P454-TODAY()))))</f>
        <v/>
      </c>
      <c r="R454" s="37" t="str">
        <f aca="true">IF($D454="","",IF(IFERROR(INDEX(Settings!$C$11:$C$19,MATCH($L454,Settings!$B$11:$B$19,0)),"Yes")="No","CLOSED",IF($M454="",IF($N454="","ON TRACK",IF($N454&lt;TODAY(),"OVERDUE",IF($N454-TODAY()&lt;=Settings!$C$5,"DUE SOON","ON TRACK"))),IF($P454&lt;=TODAY(),"FOLLOW-UP DUE","ON TRACK"))))</f>
        <v/>
      </c>
      <c r="S454" s="35"/>
      <c r="T454" s="35"/>
      <c r="U454" s="38"/>
      <c r="V454" s="34"/>
      <c r="W454" s="35" t="str">
        <f aca="false">IF(OR($R454="OVERDUE",$R454="DUE SOON",$R454="FOLLOW-UP DUE"),MAX(W$3:W453)+1,"")</f>
        <v/>
      </c>
    </row>
    <row r="455" customFormat="false" ht="15" hidden="false" customHeight="false" outlineLevel="0" collapsed="false">
      <c r="A455" s="33" t="str">
        <f aca="false">IF($D455="","","JOB-"&amp;TEXT(ROW()-3,"000"))</f>
        <v/>
      </c>
      <c r="B455" s="34"/>
      <c r="C455" s="35"/>
      <c r="D455" s="35"/>
      <c r="E455" s="35"/>
      <c r="F455" s="35"/>
      <c r="G455" s="33"/>
      <c r="H455" s="35"/>
      <c r="I455" s="35"/>
      <c r="J455" s="35"/>
      <c r="K455" s="33"/>
      <c r="L455" s="33"/>
      <c r="M455" s="34"/>
      <c r="N455" s="34"/>
      <c r="O455" s="34"/>
      <c r="P455" s="34" t="str">
        <f aca="false">IF(OR($D455="",$M455=""),"",IF(IFERROR(INDEX(Settings!$C$11:$C$19,MATCH($L455,Settings!$B$11:$B$19,0)),"Yes")="No","",MAX($M455,$O455)+Settings!$C$6))</f>
        <v/>
      </c>
      <c r="Q455" s="36" t="str">
        <f aca="true">IF($D455="","",IF(IFERROR(INDEX(Settings!$C$11:$C$19,MATCH($L455,Settings!$B$11:$B$19,0)),"Yes")="No","",IF($M455="",IF($N455="","",$N455-TODAY()),IF($P455="","",$P455-TODAY()))))</f>
        <v/>
      </c>
      <c r="R455" s="37" t="str">
        <f aca="true">IF($D455="","",IF(IFERROR(INDEX(Settings!$C$11:$C$19,MATCH($L455,Settings!$B$11:$B$19,0)),"Yes")="No","CLOSED",IF($M455="",IF($N455="","ON TRACK",IF($N455&lt;TODAY(),"OVERDUE",IF($N455-TODAY()&lt;=Settings!$C$5,"DUE SOON","ON TRACK"))),IF($P455&lt;=TODAY(),"FOLLOW-UP DUE","ON TRACK"))))</f>
        <v/>
      </c>
      <c r="S455" s="35"/>
      <c r="T455" s="35"/>
      <c r="U455" s="38"/>
      <c r="V455" s="34"/>
      <c r="W455" s="35" t="str">
        <f aca="false">IF(OR($R455="OVERDUE",$R455="DUE SOON",$R455="FOLLOW-UP DUE"),MAX(W$3:W454)+1,"")</f>
        <v/>
      </c>
    </row>
    <row r="456" customFormat="false" ht="15" hidden="false" customHeight="false" outlineLevel="0" collapsed="false">
      <c r="A456" s="33" t="str">
        <f aca="false">IF($D456="","","JOB-"&amp;TEXT(ROW()-3,"000"))</f>
        <v/>
      </c>
      <c r="B456" s="34"/>
      <c r="C456" s="35"/>
      <c r="D456" s="35"/>
      <c r="E456" s="35"/>
      <c r="F456" s="35"/>
      <c r="G456" s="33"/>
      <c r="H456" s="35"/>
      <c r="I456" s="35"/>
      <c r="J456" s="35"/>
      <c r="K456" s="33"/>
      <c r="L456" s="33"/>
      <c r="M456" s="34"/>
      <c r="N456" s="34"/>
      <c r="O456" s="34"/>
      <c r="P456" s="34" t="str">
        <f aca="false">IF(OR($D456="",$M456=""),"",IF(IFERROR(INDEX(Settings!$C$11:$C$19,MATCH($L456,Settings!$B$11:$B$19,0)),"Yes")="No","",MAX($M456,$O456)+Settings!$C$6))</f>
        <v/>
      </c>
      <c r="Q456" s="36" t="str">
        <f aca="true">IF($D456="","",IF(IFERROR(INDEX(Settings!$C$11:$C$19,MATCH($L456,Settings!$B$11:$B$19,0)),"Yes")="No","",IF($M456="",IF($N456="","",$N456-TODAY()),IF($P456="","",$P456-TODAY()))))</f>
        <v/>
      </c>
      <c r="R456" s="37" t="str">
        <f aca="true">IF($D456="","",IF(IFERROR(INDEX(Settings!$C$11:$C$19,MATCH($L456,Settings!$B$11:$B$19,0)),"Yes")="No","CLOSED",IF($M456="",IF($N456="","ON TRACK",IF($N456&lt;TODAY(),"OVERDUE",IF($N456-TODAY()&lt;=Settings!$C$5,"DUE SOON","ON TRACK"))),IF($P456&lt;=TODAY(),"FOLLOW-UP DUE","ON TRACK"))))</f>
        <v/>
      </c>
      <c r="S456" s="35"/>
      <c r="T456" s="35"/>
      <c r="U456" s="38"/>
      <c r="V456" s="34"/>
      <c r="W456" s="35" t="str">
        <f aca="false">IF(OR($R456="OVERDUE",$R456="DUE SOON",$R456="FOLLOW-UP DUE"),MAX(W$3:W455)+1,"")</f>
        <v/>
      </c>
    </row>
    <row r="457" customFormat="false" ht="15" hidden="false" customHeight="false" outlineLevel="0" collapsed="false">
      <c r="A457" s="33" t="str">
        <f aca="false">IF($D457="","","JOB-"&amp;TEXT(ROW()-3,"000"))</f>
        <v/>
      </c>
      <c r="B457" s="34"/>
      <c r="C457" s="35"/>
      <c r="D457" s="35"/>
      <c r="E457" s="35"/>
      <c r="F457" s="35"/>
      <c r="G457" s="33"/>
      <c r="H457" s="35"/>
      <c r="I457" s="35"/>
      <c r="J457" s="35"/>
      <c r="K457" s="33"/>
      <c r="L457" s="33"/>
      <c r="M457" s="34"/>
      <c r="N457" s="34"/>
      <c r="O457" s="34"/>
      <c r="P457" s="34" t="str">
        <f aca="false">IF(OR($D457="",$M457=""),"",IF(IFERROR(INDEX(Settings!$C$11:$C$19,MATCH($L457,Settings!$B$11:$B$19,0)),"Yes")="No","",MAX($M457,$O457)+Settings!$C$6))</f>
        <v/>
      </c>
      <c r="Q457" s="36" t="str">
        <f aca="true">IF($D457="","",IF(IFERROR(INDEX(Settings!$C$11:$C$19,MATCH($L457,Settings!$B$11:$B$19,0)),"Yes")="No","",IF($M457="",IF($N457="","",$N457-TODAY()),IF($P457="","",$P457-TODAY()))))</f>
        <v/>
      </c>
      <c r="R457" s="37" t="str">
        <f aca="true">IF($D457="","",IF(IFERROR(INDEX(Settings!$C$11:$C$19,MATCH($L457,Settings!$B$11:$B$19,0)),"Yes")="No","CLOSED",IF($M457="",IF($N457="","ON TRACK",IF($N457&lt;TODAY(),"OVERDUE",IF($N457-TODAY()&lt;=Settings!$C$5,"DUE SOON","ON TRACK"))),IF($P457&lt;=TODAY(),"FOLLOW-UP DUE","ON TRACK"))))</f>
        <v/>
      </c>
      <c r="S457" s="35"/>
      <c r="T457" s="35"/>
      <c r="U457" s="38"/>
      <c r="V457" s="34"/>
      <c r="W457" s="35" t="str">
        <f aca="false">IF(OR($R457="OVERDUE",$R457="DUE SOON",$R457="FOLLOW-UP DUE"),MAX(W$3:W456)+1,"")</f>
        <v/>
      </c>
    </row>
    <row r="458" customFormat="false" ht="15" hidden="false" customHeight="false" outlineLevel="0" collapsed="false">
      <c r="A458" s="33" t="str">
        <f aca="false">IF($D458="","","JOB-"&amp;TEXT(ROW()-3,"000"))</f>
        <v/>
      </c>
      <c r="B458" s="34"/>
      <c r="C458" s="35"/>
      <c r="D458" s="35"/>
      <c r="E458" s="35"/>
      <c r="F458" s="35"/>
      <c r="G458" s="33"/>
      <c r="H458" s="35"/>
      <c r="I458" s="35"/>
      <c r="J458" s="35"/>
      <c r="K458" s="33"/>
      <c r="L458" s="33"/>
      <c r="M458" s="34"/>
      <c r="N458" s="34"/>
      <c r="O458" s="34"/>
      <c r="P458" s="34" t="str">
        <f aca="false">IF(OR($D458="",$M458=""),"",IF(IFERROR(INDEX(Settings!$C$11:$C$19,MATCH($L458,Settings!$B$11:$B$19,0)),"Yes")="No","",MAX($M458,$O458)+Settings!$C$6))</f>
        <v/>
      </c>
      <c r="Q458" s="36" t="str">
        <f aca="true">IF($D458="","",IF(IFERROR(INDEX(Settings!$C$11:$C$19,MATCH($L458,Settings!$B$11:$B$19,0)),"Yes")="No","",IF($M458="",IF($N458="","",$N458-TODAY()),IF($P458="","",$P458-TODAY()))))</f>
        <v/>
      </c>
      <c r="R458" s="37" t="str">
        <f aca="true">IF($D458="","",IF(IFERROR(INDEX(Settings!$C$11:$C$19,MATCH($L458,Settings!$B$11:$B$19,0)),"Yes")="No","CLOSED",IF($M458="",IF($N458="","ON TRACK",IF($N458&lt;TODAY(),"OVERDUE",IF($N458-TODAY()&lt;=Settings!$C$5,"DUE SOON","ON TRACK"))),IF($P458&lt;=TODAY(),"FOLLOW-UP DUE","ON TRACK"))))</f>
        <v/>
      </c>
      <c r="S458" s="35"/>
      <c r="T458" s="35"/>
      <c r="U458" s="38"/>
      <c r="V458" s="34"/>
      <c r="W458" s="35" t="str">
        <f aca="false">IF(OR($R458="OVERDUE",$R458="DUE SOON",$R458="FOLLOW-UP DUE"),MAX(W$3:W457)+1,"")</f>
        <v/>
      </c>
    </row>
    <row r="459" customFormat="false" ht="15" hidden="false" customHeight="false" outlineLevel="0" collapsed="false">
      <c r="A459" s="33" t="str">
        <f aca="false">IF($D459="","","JOB-"&amp;TEXT(ROW()-3,"000"))</f>
        <v/>
      </c>
      <c r="B459" s="34"/>
      <c r="C459" s="35"/>
      <c r="D459" s="35"/>
      <c r="E459" s="35"/>
      <c r="F459" s="35"/>
      <c r="G459" s="33"/>
      <c r="H459" s="35"/>
      <c r="I459" s="35"/>
      <c r="J459" s="35"/>
      <c r="K459" s="33"/>
      <c r="L459" s="33"/>
      <c r="M459" s="34"/>
      <c r="N459" s="34"/>
      <c r="O459" s="34"/>
      <c r="P459" s="34" t="str">
        <f aca="false">IF(OR($D459="",$M459=""),"",IF(IFERROR(INDEX(Settings!$C$11:$C$19,MATCH($L459,Settings!$B$11:$B$19,0)),"Yes")="No","",MAX($M459,$O459)+Settings!$C$6))</f>
        <v/>
      </c>
      <c r="Q459" s="36" t="str">
        <f aca="true">IF($D459="","",IF(IFERROR(INDEX(Settings!$C$11:$C$19,MATCH($L459,Settings!$B$11:$B$19,0)),"Yes")="No","",IF($M459="",IF($N459="","",$N459-TODAY()),IF($P459="","",$P459-TODAY()))))</f>
        <v/>
      </c>
      <c r="R459" s="37" t="str">
        <f aca="true">IF($D459="","",IF(IFERROR(INDEX(Settings!$C$11:$C$19,MATCH($L459,Settings!$B$11:$B$19,0)),"Yes")="No","CLOSED",IF($M459="",IF($N459="","ON TRACK",IF($N459&lt;TODAY(),"OVERDUE",IF($N459-TODAY()&lt;=Settings!$C$5,"DUE SOON","ON TRACK"))),IF($P459&lt;=TODAY(),"FOLLOW-UP DUE","ON TRACK"))))</f>
        <v/>
      </c>
      <c r="S459" s="35"/>
      <c r="T459" s="35"/>
      <c r="U459" s="38"/>
      <c r="V459" s="34"/>
      <c r="W459" s="35" t="str">
        <f aca="false">IF(OR($R459="OVERDUE",$R459="DUE SOON",$R459="FOLLOW-UP DUE"),MAX(W$3:W458)+1,"")</f>
        <v/>
      </c>
    </row>
    <row r="460" customFormat="false" ht="15" hidden="false" customHeight="false" outlineLevel="0" collapsed="false">
      <c r="A460" s="33" t="str">
        <f aca="false">IF($D460="","","JOB-"&amp;TEXT(ROW()-3,"000"))</f>
        <v/>
      </c>
      <c r="B460" s="34"/>
      <c r="C460" s="35"/>
      <c r="D460" s="35"/>
      <c r="E460" s="35"/>
      <c r="F460" s="35"/>
      <c r="G460" s="33"/>
      <c r="H460" s="35"/>
      <c r="I460" s="35"/>
      <c r="J460" s="35"/>
      <c r="K460" s="33"/>
      <c r="L460" s="33"/>
      <c r="M460" s="34"/>
      <c r="N460" s="34"/>
      <c r="O460" s="34"/>
      <c r="P460" s="34" t="str">
        <f aca="false">IF(OR($D460="",$M460=""),"",IF(IFERROR(INDEX(Settings!$C$11:$C$19,MATCH($L460,Settings!$B$11:$B$19,0)),"Yes")="No","",MAX($M460,$O460)+Settings!$C$6))</f>
        <v/>
      </c>
      <c r="Q460" s="36" t="str">
        <f aca="true">IF($D460="","",IF(IFERROR(INDEX(Settings!$C$11:$C$19,MATCH($L460,Settings!$B$11:$B$19,0)),"Yes")="No","",IF($M460="",IF($N460="","",$N460-TODAY()),IF($P460="","",$P460-TODAY()))))</f>
        <v/>
      </c>
      <c r="R460" s="37" t="str">
        <f aca="true">IF($D460="","",IF(IFERROR(INDEX(Settings!$C$11:$C$19,MATCH($L460,Settings!$B$11:$B$19,0)),"Yes")="No","CLOSED",IF($M460="",IF($N460="","ON TRACK",IF($N460&lt;TODAY(),"OVERDUE",IF($N460-TODAY()&lt;=Settings!$C$5,"DUE SOON","ON TRACK"))),IF($P460&lt;=TODAY(),"FOLLOW-UP DUE","ON TRACK"))))</f>
        <v/>
      </c>
      <c r="S460" s="35"/>
      <c r="T460" s="35"/>
      <c r="U460" s="38"/>
      <c r="V460" s="34"/>
      <c r="W460" s="35" t="str">
        <f aca="false">IF(OR($R460="OVERDUE",$R460="DUE SOON",$R460="FOLLOW-UP DUE"),MAX(W$3:W459)+1,"")</f>
        <v/>
      </c>
    </row>
    <row r="461" customFormat="false" ht="15" hidden="false" customHeight="false" outlineLevel="0" collapsed="false">
      <c r="A461" s="33" t="str">
        <f aca="false">IF($D461="","","JOB-"&amp;TEXT(ROW()-3,"000"))</f>
        <v/>
      </c>
      <c r="B461" s="34"/>
      <c r="C461" s="35"/>
      <c r="D461" s="35"/>
      <c r="E461" s="35"/>
      <c r="F461" s="35"/>
      <c r="G461" s="33"/>
      <c r="H461" s="35"/>
      <c r="I461" s="35"/>
      <c r="J461" s="35"/>
      <c r="K461" s="33"/>
      <c r="L461" s="33"/>
      <c r="M461" s="34"/>
      <c r="N461" s="34"/>
      <c r="O461" s="34"/>
      <c r="P461" s="34" t="str">
        <f aca="false">IF(OR($D461="",$M461=""),"",IF(IFERROR(INDEX(Settings!$C$11:$C$19,MATCH($L461,Settings!$B$11:$B$19,0)),"Yes")="No","",MAX($M461,$O461)+Settings!$C$6))</f>
        <v/>
      </c>
      <c r="Q461" s="36" t="str">
        <f aca="true">IF($D461="","",IF(IFERROR(INDEX(Settings!$C$11:$C$19,MATCH($L461,Settings!$B$11:$B$19,0)),"Yes")="No","",IF($M461="",IF($N461="","",$N461-TODAY()),IF($P461="","",$P461-TODAY()))))</f>
        <v/>
      </c>
      <c r="R461" s="37" t="str">
        <f aca="true">IF($D461="","",IF(IFERROR(INDEX(Settings!$C$11:$C$19,MATCH($L461,Settings!$B$11:$B$19,0)),"Yes")="No","CLOSED",IF($M461="",IF($N461="","ON TRACK",IF($N461&lt;TODAY(),"OVERDUE",IF($N461-TODAY()&lt;=Settings!$C$5,"DUE SOON","ON TRACK"))),IF($P461&lt;=TODAY(),"FOLLOW-UP DUE","ON TRACK"))))</f>
        <v/>
      </c>
      <c r="S461" s="35"/>
      <c r="T461" s="35"/>
      <c r="U461" s="38"/>
      <c r="V461" s="34"/>
      <c r="W461" s="35" t="str">
        <f aca="false">IF(OR($R461="OVERDUE",$R461="DUE SOON",$R461="FOLLOW-UP DUE"),MAX(W$3:W460)+1,"")</f>
        <v/>
      </c>
    </row>
    <row r="462" customFormat="false" ht="15" hidden="false" customHeight="false" outlineLevel="0" collapsed="false">
      <c r="A462" s="33" t="str">
        <f aca="false">IF($D462="","","JOB-"&amp;TEXT(ROW()-3,"000"))</f>
        <v/>
      </c>
      <c r="B462" s="34"/>
      <c r="C462" s="35"/>
      <c r="D462" s="35"/>
      <c r="E462" s="35"/>
      <c r="F462" s="35"/>
      <c r="G462" s="33"/>
      <c r="H462" s="35"/>
      <c r="I462" s="35"/>
      <c r="J462" s="35"/>
      <c r="K462" s="33"/>
      <c r="L462" s="33"/>
      <c r="M462" s="34"/>
      <c r="N462" s="34"/>
      <c r="O462" s="34"/>
      <c r="P462" s="34" t="str">
        <f aca="false">IF(OR($D462="",$M462=""),"",IF(IFERROR(INDEX(Settings!$C$11:$C$19,MATCH($L462,Settings!$B$11:$B$19,0)),"Yes")="No","",MAX($M462,$O462)+Settings!$C$6))</f>
        <v/>
      </c>
      <c r="Q462" s="36" t="str">
        <f aca="true">IF($D462="","",IF(IFERROR(INDEX(Settings!$C$11:$C$19,MATCH($L462,Settings!$B$11:$B$19,0)),"Yes")="No","",IF($M462="",IF($N462="","",$N462-TODAY()),IF($P462="","",$P462-TODAY()))))</f>
        <v/>
      </c>
      <c r="R462" s="37" t="str">
        <f aca="true">IF($D462="","",IF(IFERROR(INDEX(Settings!$C$11:$C$19,MATCH($L462,Settings!$B$11:$B$19,0)),"Yes")="No","CLOSED",IF($M462="",IF($N462="","ON TRACK",IF($N462&lt;TODAY(),"OVERDUE",IF($N462-TODAY()&lt;=Settings!$C$5,"DUE SOON","ON TRACK"))),IF($P462&lt;=TODAY(),"FOLLOW-UP DUE","ON TRACK"))))</f>
        <v/>
      </c>
      <c r="S462" s="35"/>
      <c r="T462" s="35"/>
      <c r="U462" s="38"/>
      <c r="V462" s="34"/>
      <c r="W462" s="35" t="str">
        <f aca="false">IF(OR($R462="OVERDUE",$R462="DUE SOON",$R462="FOLLOW-UP DUE"),MAX(W$3:W461)+1,"")</f>
        <v/>
      </c>
    </row>
    <row r="463" customFormat="false" ht="15" hidden="false" customHeight="false" outlineLevel="0" collapsed="false">
      <c r="A463" s="33" t="str">
        <f aca="false">IF($D463="","","JOB-"&amp;TEXT(ROW()-3,"000"))</f>
        <v/>
      </c>
      <c r="B463" s="34"/>
      <c r="C463" s="35"/>
      <c r="D463" s="35"/>
      <c r="E463" s="35"/>
      <c r="F463" s="35"/>
      <c r="G463" s="33"/>
      <c r="H463" s="35"/>
      <c r="I463" s="35"/>
      <c r="J463" s="35"/>
      <c r="K463" s="33"/>
      <c r="L463" s="33"/>
      <c r="M463" s="34"/>
      <c r="N463" s="34"/>
      <c r="O463" s="34"/>
      <c r="P463" s="34" t="str">
        <f aca="false">IF(OR($D463="",$M463=""),"",IF(IFERROR(INDEX(Settings!$C$11:$C$19,MATCH($L463,Settings!$B$11:$B$19,0)),"Yes")="No","",MAX($M463,$O463)+Settings!$C$6))</f>
        <v/>
      </c>
      <c r="Q463" s="36" t="str">
        <f aca="true">IF($D463="","",IF(IFERROR(INDEX(Settings!$C$11:$C$19,MATCH($L463,Settings!$B$11:$B$19,0)),"Yes")="No","",IF($M463="",IF($N463="","",$N463-TODAY()),IF($P463="","",$P463-TODAY()))))</f>
        <v/>
      </c>
      <c r="R463" s="37" t="str">
        <f aca="true">IF($D463="","",IF(IFERROR(INDEX(Settings!$C$11:$C$19,MATCH($L463,Settings!$B$11:$B$19,0)),"Yes")="No","CLOSED",IF($M463="",IF($N463="","ON TRACK",IF($N463&lt;TODAY(),"OVERDUE",IF($N463-TODAY()&lt;=Settings!$C$5,"DUE SOON","ON TRACK"))),IF($P463&lt;=TODAY(),"FOLLOW-UP DUE","ON TRACK"))))</f>
        <v/>
      </c>
      <c r="S463" s="35"/>
      <c r="T463" s="35"/>
      <c r="U463" s="38"/>
      <c r="V463" s="34"/>
      <c r="W463" s="35" t="str">
        <f aca="false">IF(OR($R463="OVERDUE",$R463="DUE SOON",$R463="FOLLOW-UP DUE"),MAX(W$3:W462)+1,"")</f>
        <v/>
      </c>
    </row>
    <row r="464" customFormat="false" ht="15" hidden="false" customHeight="false" outlineLevel="0" collapsed="false">
      <c r="A464" s="33" t="str">
        <f aca="false">IF($D464="","","JOB-"&amp;TEXT(ROW()-3,"000"))</f>
        <v/>
      </c>
      <c r="B464" s="34"/>
      <c r="C464" s="35"/>
      <c r="D464" s="35"/>
      <c r="E464" s="35"/>
      <c r="F464" s="35"/>
      <c r="G464" s="33"/>
      <c r="H464" s="35"/>
      <c r="I464" s="35"/>
      <c r="J464" s="35"/>
      <c r="K464" s="33"/>
      <c r="L464" s="33"/>
      <c r="M464" s="34"/>
      <c r="N464" s="34"/>
      <c r="O464" s="34"/>
      <c r="P464" s="34" t="str">
        <f aca="false">IF(OR($D464="",$M464=""),"",IF(IFERROR(INDEX(Settings!$C$11:$C$19,MATCH($L464,Settings!$B$11:$B$19,0)),"Yes")="No","",MAX($M464,$O464)+Settings!$C$6))</f>
        <v/>
      </c>
      <c r="Q464" s="36" t="str">
        <f aca="true">IF($D464="","",IF(IFERROR(INDEX(Settings!$C$11:$C$19,MATCH($L464,Settings!$B$11:$B$19,0)),"Yes")="No","",IF($M464="",IF($N464="","",$N464-TODAY()),IF($P464="","",$P464-TODAY()))))</f>
        <v/>
      </c>
      <c r="R464" s="37" t="str">
        <f aca="true">IF($D464="","",IF(IFERROR(INDEX(Settings!$C$11:$C$19,MATCH($L464,Settings!$B$11:$B$19,0)),"Yes")="No","CLOSED",IF($M464="",IF($N464="","ON TRACK",IF($N464&lt;TODAY(),"OVERDUE",IF($N464-TODAY()&lt;=Settings!$C$5,"DUE SOON","ON TRACK"))),IF($P464&lt;=TODAY(),"FOLLOW-UP DUE","ON TRACK"))))</f>
        <v/>
      </c>
      <c r="S464" s="35"/>
      <c r="T464" s="35"/>
      <c r="U464" s="38"/>
      <c r="V464" s="34"/>
      <c r="W464" s="35" t="str">
        <f aca="false">IF(OR($R464="OVERDUE",$R464="DUE SOON",$R464="FOLLOW-UP DUE"),MAX(W$3:W463)+1,"")</f>
        <v/>
      </c>
    </row>
    <row r="465" customFormat="false" ht="15" hidden="false" customHeight="false" outlineLevel="0" collapsed="false">
      <c r="A465" s="33" t="str">
        <f aca="false">IF($D465="","","JOB-"&amp;TEXT(ROW()-3,"000"))</f>
        <v/>
      </c>
      <c r="B465" s="34"/>
      <c r="C465" s="35"/>
      <c r="D465" s="35"/>
      <c r="E465" s="35"/>
      <c r="F465" s="35"/>
      <c r="G465" s="33"/>
      <c r="H465" s="35"/>
      <c r="I465" s="35"/>
      <c r="J465" s="35"/>
      <c r="K465" s="33"/>
      <c r="L465" s="33"/>
      <c r="M465" s="34"/>
      <c r="N465" s="34"/>
      <c r="O465" s="34"/>
      <c r="P465" s="34" t="str">
        <f aca="false">IF(OR($D465="",$M465=""),"",IF(IFERROR(INDEX(Settings!$C$11:$C$19,MATCH($L465,Settings!$B$11:$B$19,0)),"Yes")="No","",MAX($M465,$O465)+Settings!$C$6))</f>
        <v/>
      </c>
      <c r="Q465" s="36" t="str">
        <f aca="true">IF($D465="","",IF(IFERROR(INDEX(Settings!$C$11:$C$19,MATCH($L465,Settings!$B$11:$B$19,0)),"Yes")="No","",IF($M465="",IF($N465="","",$N465-TODAY()),IF($P465="","",$P465-TODAY()))))</f>
        <v/>
      </c>
      <c r="R465" s="37" t="str">
        <f aca="true">IF($D465="","",IF(IFERROR(INDEX(Settings!$C$11:$C$19,MATCH($L465,Settings!$B$11:$B$19,0)),"Yes")="No","CLOSED",IF($M465="",IF($N465="","ON TRACK",IF($N465&lt;TODAY(),"OVERDUE",IF($N465-TODAY()&lt;=Settings!$C$5,"DUE SOON","ON TRACK"))),IF($P465&lt;=TODAY(),"FOLLOW-UP DUE","ON TRACK"))))</f>
        <v/>
      </c>
      <c r="S465" s="35"/>
      <c r="T465" s="35"/>
      <c r="U465" s="38"/>
      <c r="V465" s="34"/>
      <c r="W465" s="35" t="str">
        <f aca="false">IF(OR($R465="OVERDUE",$R465="DUE SOON",$R465="FOLLOW-UP DUE"),MAX(W$3:W464)+1,"")</f>
        <v/>
      </c>
    </row>
    <row r="466" customFormat="false" ht="15" hidden="false" customHeight="false" outlineLevel="0" collapsed="false">
      <c r="A466" s="33" t="str">
        <f aca="false">IF($D466="","","JOB-"&amp;TEXT(ROW()-3,"000"))</f>
        <v/>
      </c>
      <c r="B466" s="34"/>
      <c r="C466" s="35"/>
      <c r="D466" s="35"/>
      <c r="E466" s="35"/>
      <c r="F466" s="35"/>
      <c r="G466" s="33"/>
      <c r="H466" s="35"/>
      <c r="I466" s="35"/>
      <c r="J466" s="35"/>
      <c r="K466" s="33"/>
      <c r="L466" s="33"/>
      <c r="M466" s="34"/>
      <c r="N466" s="34"/>
      <c r="O466" s="34"/>
      <c r="P466" s="34" t="str">
        <f aca="false">IF(OR($D466="",$M466=""),"",IF(IFERROR(INDEX(Settings!$C$11:$C$19,MATCH($L466,Settings!$B$11:$B$19,0)),"Yes")="No","",MAX($M466,$O466)+Settings!$C$6))</f>
        <v/>
      </c>
      <c r="Q466" s="36" t="str">
        <f aca="true">IF($D466="","",IF(IFERROR(INDEX(Settings!$C$11:$C$19,MATCH($L466,Settings!$B$11:$B$19,0)),"Yes")="No","",IF($M466="",IF($N466="","",$N466-TODAY()),IF($P466="","",$P466-TODAY()))))</f>
        <v/>
      </c>
      <c r="R466" s="37" t="str">
        <f aca="true">IF($D466="","",IF(IFERROR(INDEX(Settings!$C$11:$C$19,MATCH($L466,Settings!$B$11:$B$19,0)),"Yes")="No","CLOSED",IF($M466="",IF($N466="","ON TRACK",IF($N466&lt;TODAY(),"OVERDUE",IF($N466-TODAY()&lt;=Settings!$C$5,"DUE SOON","ON TRACK"))),IF($P466&lt;=TODAY(),"FOLLOW-UP DUE","ON TRACK"))))</f>
        <v/>
      </c>
      <c r="S466" s="35"/>
      <c r="T466" s="35"/>
      <c r="U466" s="38"/>
      <c r="V466" s="34"/>
      <c r="W466" s="35" t="str">
        <f aca="false">IF(OR($R466="OVERDUE",$R466="DUE SOON",$R466="FOLLOW-UP DUE"),MAX(W$3:W465)+1,"")</f>
        <v/>
      </c>
    </row>
    <row r="467" customFormat="false" ht="15" hidden="false" customHeight="false" outlineLevel="0" collapsed="false">
      <c r="A467" s="33" t="str">
        <f aca="false">IF($D467="","","JOB-"&amp;TEXT(ROW()-3,"000"))</f>
        <v/>
      </c>
      <c r="B467" s="34"/>
      <c r="C467" s="35"/>
      <c r="D467" s="35"/>
      <c r="E467" s="35"/>
      <c r="F467" s="35"/>
      <c r="G467" s="33"/>
      <c r="H467" s="35"/>
      <c r="I467" s="35"/>
      <c r="J467" s="35"/>
      <c r="K467" s="33"/>
      <c r="L467" s="33"/>
      <c r="M467" s="34"/>
      <c r="N467" s="34"/>
      <c r="O467" s="34"/>
      <c r="P467" s="34" t="str">
        <f aca="false">IF(OR($D467="",$M467=""),"",IF(IFERROR(INDEX(Settings!$C$11:$C$19,MATCH($L467,Settings!$B$11:$B$19,0)),"Yes")="No","",MAX($M467,$O467)+Settings!$C$6))</f>
        <v/>
      </c>
      <c r="Q467" s="36" t="str">
        <f aca="true">IF($D467="","",IF(IFERROR(INDEX(Settings!$C$11:$C$19,MATCH($L467,Settings!$B$11:$B$19,0)),"Yes")="No","",IF($M467="",IF($N467="","",$N467-TODAY()),IF($P467="","",$P467-TODAY()))))</f>
        <v/>
      </c>
      <c r="R467" s="37" t="str">
        <f aca="true">IF($D467="","",IF(IFERROR(INDEX(Settings!$C$11:$C$19,MATCH($L467,Settings!$B$11:$B$19,0)),"Yes")="No","CLOSED",IF($M467="",IF($N467="","ON TRACK",IF($N467&lt;TODAY(),"OVERDUE",IF($N467-TODAY()&lt;=Settings!$C$5,"DUE SOON","ON TRACK"))),IF($P467&lt;=TODAY(),"FOLLOW-UP DUE","ON TRACK"))))</f>
        <v/>
      </c>
      <c r="S467" s="35"/>
      <c r="T467" s="35"/>
      <c r="U467" s="38"/>
      <c r="V467" s="34"/>
      <c r="W467" s="35" t="str">
        <f aca="false">IF(OR($R467="OVERDUE",$R467="DUE SOON",$R467="FOLLOW-UP DUE"),MAX(W$3:W466)+1,"")</f>
        <v/>
      </c>
    </row>
    <row r="468" customFormat="false" ht="15" hidden="false" customHeight="false" outlineLevel="0" collapsed="false">
      <c r="A468" s="33" t="str">
        <f aca="false">IF($D468="","","JOB-"&amp;TEXT(ROW()-3,"000"))</f>
        <v/>
      </c>
      <c r="B468" s="34"/>
      <c r="C468" s="35"/>
      <c r="D468" s="35"/>
      <c r="E468" s="35"/>
      <c r="F468" s="35"/>
      <c r="G468" s="33"/>
      <c r="H468" s="35"/>
      <c r="I468" s="35"/>
      <c r="J468" s="35"/>
      <c r="K468" s="33"/>
      <c r="L468" s="33"/>
      <c r="M468" s="34"/>
      <c r="N468" s="34"/>
      <c r="O468" s="34"/>
      <c r="P468" s="34" t="str">
        <f aca="false">IF(OR($D468="",$M468=""),"",IF(IFERROR(INDEX(Settings!$C$11:$C$19,MATCH($L468,Settings!$B$11:$B$19,0)),"Yes")="No","",MAX($M468,$O468)+Settings!$C$6))</f>
        <v/>
      </c>
      <c r="Q468" s="36" t="str">
        <f aca="true">IF($D468="","",IF(IFERROR(INDEX(Settings!$C$11:$C$19,MATCH($L468,Settings!$B$11:$B$19,0)),"Yes")="No","",IF($M468="",IF($N468="","",$N468-TODAY()),IF($P468="","",$P468-TODAY()))))</f>
        <v/>
      </c>
      <c r="R468" s="37" t="str">
        <f aca="true">IF($D468="","",IF(IFERROR(INDEX(Settings!$C$11:$C$19,MATCH($L468,Settings!$B$11:$B$19,0)),"Yes")="No","CLOSED",IF($M468="",IF($N468="","ON TRACK",IF($N468&lt;TODAY(),"OVERDUE",IF($N468-TODAY()&lt;=Settings!$C$5,"DUE SOON","ON TRACK"))),IF($P468&lt;=TODAY(),"FOLLOW-UP DUE","ON TRACK"))))</f>
        <v/>
      </c>
      <c r="S468" s="35"/>
      <c r="T468" s="35"/>
      <c r="U468" s="38"/>
      <c r="V468" s="34"/>
      <c r="W468" s="35" t="str">
        <f aca="false">IF(OR($R468="OVERDUE",$R468="DUE SOON",$R468="FOLLOW-UP DUE"),MAX(W$3:W467)+1,"")</f>
        <v/>
      </c>
    </row>
    <row r="469" customFormat="false" ht="15" hidden="false" customHeight="false" outlineLevel="0" collapsed="false">
      <c r="A469" s="33" t="str">
        <f aca="false">IF($D469="","","JOB-"&amp;TEXT(ROW()-3,"000"))</f>
        <v/>
      </c>
      <c r="B469" s="34"/>
      <c r="C469" s="35"/>
      <c r="D469" s="35"/>
      <c r="E469" s="35"/>
      <c r="F469" s="35"/>
      <c r="G469" s="33"/>
      <c r="H469" s="35"/>
      <c r="I469" s="35"/>
      <c r="J469" s="35"/>
      <c r="K469" s="33"/>
      <c r="L469" s="33"/>
      <c r="M469" s="34"/>
      <c r="N469" s="34"/>
      <c r="O469" s="34"/>
      <c r="P469" s="34" t="str">
        <f aca="false">IF(OR($D469="",$M469=""),"",IF(IFERROR(INDEX(Settings!$C$11:$C$19,MATCH($L469,Settings!$B$11:$B$19,0)),"Yes")="No","",MAX($M469,$O469)+Settings!$C$6))</f>
        <v/>
      </c>
      <c r="Q469" s="36" t="str">
        <f aca="true">IF($D469="","",IF(IFERROR(INDEX(Settings!$C$11:$C$19,MATCH($L469,Settings!$B$11:$B$19,0)),"Yes")="No","",IF($M469="",IF($N469="","",$N469-TODAY()),IF($P469="","",$P469-TODAY()))))</f>
        <v/>
      </c>
      <c r="R469" s="37" t="str">
        <f aca="true">IF($D469="","",IF(IFERROR(INDEX(Settings!$C$11:$C$19,MATCH($L469,Settings!$B$11:$B$19,0)),"Yes")="No","CLOSED",IF($M469="",IF($N469="","ON TRACK",IF($N469&lt;TODAY(),"OVERDUE",IF($N469-TODAY()&lt;=Settings!$C$5,"DUE SOON","ON TRACK"))),IF($P469&lt;=TODAY(),"FOLLOW-UP DUE","ON TRACK"))))</f>
        <v/>
      </c>
      <c r="S469" s="35"/>
      <c r="T469" s="35"/>
      <c r="U469" s="38"/>
      <c r="V469" s="34"/>
      <c r="W469" s="35" t="str">
        <f aca="false">IF(OR($R469="OVERDUE",$R469="DUE SOON",$R469="FOLLOW-UP DUE"),MAX(W$3:W468)+1,"")</f>
        <v/>
      </c>
    </row>
    <row r="470" customFormat="false" ht="15" hidden="false" customHeight="false" outlineLevel="0" collapsed="false">
      <c r="A470" s="33" t="str">
        <f aca="false">IF($D470="","","JOB-"&amp;TEXT(ROW()-3,"000"))</f>
        <v/>
      </c>
      <c r="B470" s="34"/>
      <c r="C470" s="35"/>
      <c r="D470" s="35"/>
      <c r="E470" s="35"/>
      <c r="F470" s="35"/>
      <c r="G470" s="33"/>
      <c r="H470" s="35"/>
      <c r="I470" s="35"/>
      <c r="J470" s="35"/>
      <c r="K470" s="33"/>
      <c r="L470" s="33"/>
      <c r="M470" s="34"/>
      <c r="N470" s="34"/>
      <c r="O470" s="34"/>
      <c r="P470" s="34" t="str">
        <f aca="false">IF(OR($D470="",$M470=""),"",IF(IFERROR(INDEX(Settings!$C$11:$C$19,MATCH($L470,Settings!$B$11:$B$19,0)),"Yes")="No","",MAX($M470,$O470)+Settings!$C$6))</f>
        <v/>
      </c>
      <c r="Q470" s="36" t="str">
        <f aca="true">IF($D470="","",IF(IFERROR(INDEX(Settings!$C$11:$C$19,MATCH($L470,Settings!$B$11:$B$19,0)),"Yes")="No","",IF($M470="",IF($N470="","",$N470-TODAY()),IF($P470="","",$P470-TODAY()))))</f>
        <v/>
      </c>
      <c r="R470" s="37" t="str">
        <f aca="true">IF($D470="","",IF(IFERROR(INDEX(Settings!$C$11:$C$19,MATCH($L470,Settings!$B$11:$B$19,0)),"Yes")="No","CLOSED",IF($M470="",IF($N470="","ON TRACK",IF($N470&lt;TODAY(),"OVERDUE",IF($N470-TODAY()&lt;=Settings!$C$5,"DUE SOON","ON TRACK"))),IF($P470&lt;=TODAY(),"FOLLOW-UP DUE","ON TRACK"))))</f>
        <v/>
      </c>
      <c r="S470" s="35"/>
      <c r="T470" s="35"/>
      <c r="U470" s="38"/>
      <c r="V470" s="34"/>
      <c r="W470" s="35" t="str">
        <f aca="false">IF(OR($R470="OVERDUE",$R470="DUE SOON",$R470="FOLLOW-UP DUE"),MAX(W$3:W469)+1,"")</f>
        <v/>
      </c>
    </row>
    <row r="471" customFormat="false" ht="15" hidden="false" customHeight="false" outlineLevel="0" collapsed="false">
      <c r="A471" s="33" t="str">
        <f aca="false">IF($D471="","","JOB-"&amp;TEXT(ROW()-3,"000"))</f>
        <v/>
      </c>
      <c r="B471" s="34"/>
      <c r="C471" s="35"/>
      <c r="D471" s="35"/>
      <c r="E471" s="35"/>
      <c r="F471" s="35"/>
      <c r="G471" s="33"/>
      <c r="H471" s="35"/>
      <c r="I471" s="35"/>
      <c r="J471" s="35"/>
      <c r="K471" s="33"/>
      <c r="L471" s="33"/>
      <c r="M471" s="34"/>
      <c r="N471" s="34"/>
      <c r="O471" s="34"/>
      <c r="P471" s="34" t="str">
        <f aca="false">IF(OR($D471="",$M471=""),"",IF(IFERROR(INDEX(Settings!$C$11:$C$19,MATCH($L471,Settings!$B$11:$B$19,0)),"Yes")="No","",MAX($M471,$O471)+Settings!$C$6))</f>
        <v/>
      </c>
      <c r="Q471" s="36" t="str">
        <f aca="true">IF($D471="","",IF(IFERROR(INDEX(Settings!$C$11:$C$19,MATCH($L471,Settings!$B$11:$B$19,0)),"Yes")="No","",IF($M471="",IF($N471="","",$N471-TODAY()),IF($P471="","",$P471-TODAY()))))</f>
        <v/>
      </c>
      <c r="R471" s="37" t="str">
        <f aca="true">IF($D471="","",IF(IFERROR(INDEX(Settings!$C$11:$C$19,MATCH($L471,Settings!$B$11:$B$19,0)),"Yes")="No","CLOSED",IF($M471="",IF($N471="","ON TRACK",IF($N471&lt;TODAY(),"OVERDUE",IF($N471-TODAY()&lt;=Settings!$C$5,"DUE SOON","ON TRACK"))),IF($P471&lt;=TODAY(),"FOLLOW-UP DUE","ON TRACK"))))</f>
        <v/>
      </c>
      <c r="S471" s="35"/>
      <c r="T471" s="35"/>
      <c r="U471" s="38"/>
      <c r="V471" s="34"/>
      <c r="W471" s="35" t="str">
        <f aca="false">IF(OR($R471="OVERDUE",$R471="DUE SOON",$R471="FOLLOW-UP DUE"),MAX(W$3:W470)+1,"")</f>
        <v/>
      </c>
    </row>
    <row r="472" customFormat="false" ht="15" hidden="false" customHeight="false" outlineLevel="0" collapsed="false">
      <c r="A472" s="33" t="str">
        <f aca="false">IF($D472="","","JOB-"&amp;TEXT(ROW()-3,"000"))</f>
        <v/>
      </c>
      <c r="B472" s="34"/>
      <c r="C472" s="35"/>
      <c r="D472" s="35"/>
      <c r="E472" s="35"/>
      <c r="F472" s="35"/>
      <c r="G472" s="33"/>
      <c r="H472" s="35"/>
      <c r="I472" s="35"/>
      <c r="J472" s="35"/>
      <c r="K472" s="33"/>
      <c r="L472" s="33"/>
      <c r="M472" s="34"/>
      <c r="N472" s="34"/>
      <c r="O472" s="34"/>
      <c r="P472" s="34" t="str">
        <f aca="false">IF(OR($D472="",$M472=""),"",IF(IFERROR(INDEX(Settings!$C$11:$C$19,MATCH($L472,Settings!$B$11:$B$19,0)),"Yes")="No","",MAX($M472,$O472)+Settings!$C$6))</f>
        <v/>
      </c>
      <c r="Q472" s="36" t="str">
        <f aca="true">IF($D472="","",IF(IFERROR(INDEX(Settings!$C$11:$C$19,MATCH($L472,Settings!$B$11:$B$19,0)),"Yes")="No","",IF($M472="",IF($N472="","",$N472-TODAY()),IF($P472="","",$P472-TODAY()))))</f>
        <v/>
      </c>
      <c r="R472" s="37" t="str">
        <f aca="true">IF($D472="","",IF(IFERROR(INDEX(Settings!$C$11:$C$19,MATCH($L472,Settings!$B$11:$B$19,0)),"Yes")="No","CLOSED",IF($M472="",IF($N472="","ON TRACK",IF($N472&lt;TODAY(),"OVERDUE",IF($N472-TODAY()&lt;=Settings!$C$5,"DUE SOON","ON TRACK"))),IF($P472&lt;=TODAY(),"FOLLOW-UP DUE","ON TRACK"))))</f>
        <v/>
      </c>
      <c r="S472" s="35"/>
      <c r="T472" s="35"/>
      <c r="U472" s="38"/>
      <c r="V472" s="34"/>
      <c r="W472" s="35" t="str">
        <f aca="false">IF(OR($R472="OVERDUE",$R472="DUE SOON",$R472="FOLLOW-UP DUE"),MAX(W$3:W471)+1,"")</f>
        <v/>
      </c>
    </row>
    <row r="473" customFormat="false" ht="15" hidden="false" customHeight="false" outlineLevel="0" collapsed="false">
      <c r="A473" s="33" t="str">
        <f aca="false">IF($D473="","","JOB-"&amp;TEXT(ROW()-3,"000"))</f>
        <v/>
      </c>
      <c r="B473" s="34"/>
      <c r="C473" s="35"/>
      <c r="D473" s="35"/>
      <c r="E473" s="35"/>
      <c r="F473" s="35"/>
      <c r="G473" s="33"/>
      <c r="H473" s="35"/>
      <c r="I473" s="35"/>
      <c r="J473" s="35"/>
      <c r="K473" s="33"/>
      <c r="L473" s="33"/>
      <c r="M473" s="34"/>
      <c r="N473" s="34"/>
      <c r="O473" s="34"/>
      <c r="P473" s="34" t="str">
        <f aca="false">IF(OR($D473="",$M473=""),"",IF(IFERROR(INDEX(Settings!$C$11:$C$19,MATCH($L473,Settings!$B$11:$B$19,0)),"Yes")="No","",MAX($M473,$O473)+Settings!$C$6))</f>
        <v/>
      </c>
      <c r="Q473" s="36" t="str">
        <f aca="true">IF($D473="","",IF(IFERROR(INDEX(Settings!$C$11:$C$19,MATCH($L473,Settings!$B$11:$B$19,0)),"Yes")="No","",IF($M473="",IF($N473="","",$N473-TODAY()),IF($P473="","",$P473-TODAY()))))</f>
        <v/>
      </c>
      <c r="R473" s="37" t="str">
        <f aca="true">IF($D473="","",IF(IFERROR(INDEX(Settings!$C$11:$C$19,MATCH($L473,Settings!$B$11:$B$19,0)),"Yes")="No","CLOSED",IF($M473="",IF($N473="","ON TRACK",IF($N473&lt;TODAY(),"OVERDUE",IF($N473-TODAY()&lt;=Settings!$C$5,"DUE SOON","ON TRACK"))),IF($P473&lt;=TODAY(),"FOLLOW-UP DUE","ON TRACK"))))</f>
        <v/>
      </c>
      <c r="S473" s="35"/>
      <c r="T473" s="35"/>
      <c r="U473" s="38"/>
      <c r="V473" s="34"/>
      <c r="W473" s="35" t="str">
        <f aca="false">IF(OR($R473="OVERDUE",$R473="DUE SOON",$R473="FOLLOW-UP DUE"),MAX(W$3:W472)+1,"")</f>
        <v/>
      </c>
    </row>
    <row r="474" customFormat="false" ht="15" hidden="false" customHeight="false" outlineLevel="0" collapsed="false">
      <c r="A474" s="33" t="str">
        <f aca="false">IF($D474="","","JOB-"&amp;TEXT(ROW()-3,"000"))</f>
        <v/>
      </c>
      <c r="B474" s="34"/>
      <c r="C474" s="35"/>
      <c r="D474" s="35"/>
      <c r="E474" s="35"/>
      <c r="F474" s="35"/>
      <c r="G474" s="33"/>
      <c r="H474" s="35"/>
      <c r="I474" s="35"/>
      <c r="J474" s="35"/>
      <c r="K474" s="33"/>
      <c r="L474" s="33"/>
      <c r="M474" s="34"/>
      <c r="N474" s="34"/>
      <c r="O474" s="34"/>
      <c r="P474" s="34" t="str">
        <f aca="false">IF(OR($D474="",$M474=""),"",IF(IFERROR(INDEX(Settings!$C$11:$C$19,MATCH($L474,Settings!$B$11:$B$19,0)),"Yes")="No","",MAX($M474,$O474)+Settings!$C$6))</f>
        <v/>
      </c>
      <c r="Q474" s="36" t="str">
        <f aca="true">IF($D474="","",IF(IFERROR(INDEX(Settings!$C$11:$C$19,MATCH($L474,Settings!$B$11:$B$19,0)),"Yes")="No","",IF($M474="",IF($N474="","",$N474-TODAY()),IF($P474="","",$P474-TODAY()))))</f>
        <v/>
      </c>
      <c r="R474" s="37" t="str">
        <f aca="true">IF($D474="","",IF(IFERROR(INDEX(Settings!$C$11:$C$19,MATCH($L474,Settings!$B$11:$B$19,0)),"Yes")="No","CLOSED",IF($M474="",IF($N474="","ON TRACK",IF($N474&lt;TODAY(),"OVERDUE",IF($N474-TODAY()&lt;=Settings!$C$5,"DUE SOON","ON TRACK"))),IF($P474&lt;=TODAY(),"FOLLOW-UP DUE","ON TRACK"))))</f>
        <v/>
      </c>
      <c r="S474" s="35"/>
      <c r="T474" s="35"/>
      <c r="U474" s="38"/>
      <c r="V474" s="34"/>
      <c r="W474" s="35" t="str">
        <f aca="false">IF(OR($R474="OVERDUE",$R474="DUE SOON",$R474="FOLLOW-UP DUE"),MAX(W$3:W473)+1,"")</f>
        <v/>
      </c>
    </row>
    <row r="475" customFormat="false" ht="15" hidden="false" customHeight="false" outlineLevel="0" collapsed="false">
      <c r="A475" s="33" t="str">
        <f aca="false">IF($D475="","","JOB-"&amp;TEXT(ROW()-3,"000"))</f>
        <v/>
      </c>
      <c r="B475" s="34"/>
      <c r="C475" s="35"/>
      <c r="D475" s="35"/>
      <c r="E475" s="35"/>
      <c r="F475" s="35"/>
      <c r="G475" s="33"/>
      <c r="H475" s="35"/>
      <c r="I475" s="35"/>
      <c r="J475" s="35"/>
      <c r="K475" s="33"/>
      <c r="L475" s="33"/>
      <c r="M475" s="34"/>
      <c r="N475" s="34"/>
      <c r="O475" s="34"/>
      <c r="P475" s="34" t="str">
        <f aca="false">IF(OR($D475="",$M475=""),"",IF(IFERROR(INDEX(Settings!$C$11:$C$19,MATCH($L475,Settings!$B$11:$B$19,0)),"Yes")="No","",MAX($M475,$O475)+Settings!$C$6))</f>
        <v/>
      </c>
      <c r="Q475" s="36" t="str">
        <f aca="true">IF($D475="","",IF(IFERROR(INDEX(Settings!$C$11:$C$19,MATCH($L475,Settings!$B$11:$B$19,0)),"Yes")="No","",IF($M475="",IF($N475="","",$N475-TODAY()),IF($P475="","",$P475-TODAY()))))</f>
        <v/>
      </c>
      <c r="R475" s="37" t="str">
        <f aca="true">IF($D475="","",IF(IFERROR(INDEX(Settings!$C$11:$C$19,MATCH($L475,Settings!$B$11:$B$19,0)),"Yes")="No","CLOSED",IF($M475="",IF($N475="","ON TRACK",IF($N475&lt;TODAY(),"OVERDUE",IF($N475-TODAY()&lt;=Settings!$C$5,"DUE SOON","ON TRACK"))),IF($P475&lt;=TODAY(),"FOLLOW-UP DUE","ON TRACK"))))</f>
        <v/>
      </c>
      <c r="S475" s="35"/>
      <c r="T475" s="35"/>
      <c r="U475" s="38"/>
      <c r="V475" s="34"/>
      <c r="W475" s="35" t="str">
        <f aca="false">IF(OR($R475="OVERDUE",$R475="DUE SOON",$R475="FOLLOW-UP DUE"),MAX(W$3:W474)+1,"")</f>
        <v/>
      </c>
    </row>
    <row r="476" customFormat="false" ht="15" hidden="false" customHeight="false" outlineLevel="0" collapsed="false">
      <c r="A476" s="33" t="str">
        <f aca="false">IF($D476="","","JOB-"&amp;TEXT(ROW()-3,"000"))</f>
        <v/>
      </c>
      <c r="B476" s="34"/>
      <c r="C476" s="35"/>
      <c r="D476" s="35"/>
      <c r="E476" s="35"/>
      <c r="F476" s="35"/>
      <c r="G476" s="33"/>
      <c r="H476" s="35"/>
      <c r="I476" s="35"/>
      <c r="J476" s="35"/>
      <c r="K476" s="33"/>
      <c r="L476" s="33"/>
      <c r="M476" s="34"/>
      <c r="N476" s="34"/>
      <c r="O476" s="34"/>
      <c r="P476" s="34" t="str">
        <f aca="false">IF(OR($D476="",$M476=""),"",IF(IFERROR(INDEX(Settings!$C$11:$C$19,MATCH($L476,Settings!$B$11:$B$19,0)),"Yes")="No","",MAX($M476,$O476)+Settings!$C$6))</f>
        <v/>
      </c>
      <c r="Q476" s="36" t="str">
        <f aca="true">IF($D476="","",IF(IFERROR(INDEX(Settings!$C$11:$C$19,MATCH($L476,Settings!$B$11:$B$19,0)),"Yes")="No","",IF($M476="",IF($N476="","",$N476-TODAY()),IF($P476="","",$P476-TODAY()))))</f>
        <v/>
      </c>
      <c r="R476" s="37" t="str">
        <f aca="true">IF($D476="","",IF(IFERROR(INDEX(Settings!$C$11:$C$19,MATCH($L476,Settings!$B$11:$B$19,0)),"Yes")="No","CLOSED",IF($M476="",IF($N476="","ON TRACK",IF($N476&lt;TODAY(),"OVERDUE",IF($N476-TODAY()&lt;=Settings!$C$5,"DUE SOON","ON TRACK"))),IF($P476&lt;=TODAY(),"FOLLOW-UP DUE","ON TRACK"))))</f>
        <v/>
      </c>
      <c r="S476" s="35"/>
      <c r="T476" s="35"/>
      <c r="U476" s="38"/>
      <c r="V476" s="34"/>
      <c r="W476" s="35" t="str">
        <f aca="false">IF(OR($R476="OVERDUE",$R476="DUE SOON",$R476="FOLLOW-UP DUE"),MAX(W$3:W475)+1,"")</f>
        <v/>
      </c>
    </row>
    <row r="477" customFormat="false" ht="15" hidden="false" customHeight="false" outlineLevel="0" collapsed="false">
      <c r="A477" s="33" t="str">
        <f aca="false">IF($D477="","","JOB-"&amp;TEXT(ROW()-3,"000"))</f>
        <v/>
      </c>
      <c r="B477" s="34"/>
      <c r="C477" s="35"/>
      <c r="D477" s="35"/>
      <c r="E477" s="35"/>
      <c r="F477" s="35"/>
      <c r="G477" s="33"/>
      <c r="H477" s="35"/>
      <c r="I477" s="35"/>
      <c r="J477" s="35"/>
      <c r="K477" s="33"/>
      <c r="L477" s="33"/>
      <c r="M477" s="34"/>
      <c r="N477" s="34"/>
      <c r="O477" s="34"/>
      <c r="P477" s="34" t="str">
        <f aca="false">IF(OR($D477="",$M477=""),"",IF(IFERROR(INDEX(Settings!$C$11:$C$19,MATCH($L477,Settings!$B$11:$B$19,0)),"Yes")="No","",MAX($M477,$O477)+Settings!$C$6))</f>
        <v/>
      </c>
      <c r="Q477" s="36" t="str">
        <f aca="true">IF($D477="","",IF(IFERROR(INDEX(Settings!$C$11:$C$19,MATCH($L477,Settings!$B$11:$B$19,0)),"Yes")="No","",IF($M477="",IF($N477="","",$N477-TODAY()),IF($P477="","",$P477-TODAY()))))</f>
        <v/>
      </c>
      <c r="R477" s="37" t="str">
        <f aca="true">IF($D477="","",IF(IFERROR(INDEX(Settings!$C$11:$C$19,MATCH($L477,Settings!$B$11:$B$19,0)),"Yes")="No","CLOSED",IF($M477="",IF($N477="","ON TRACK",IF($N477&lt;TODAY(),"OVERDUE",IF($N477-TODAY()&lt;=Settings!$C$5,"DUE SOON","ON TRACK"))),IF($P477&lt;=TODAY(),"FOLLOW-UP DUE","ON TRACK"))))</f>
        <v/>
      </c>
      <c r="S477" s="35"/>
      <c r="T477" s="35"/>
      <c r="U477" s="38"/>
      <c r="V477" s="34"/>
      <c r="W477" s="35" t="str">
        <f aca="false">IF(OR($R477="OVERDUE",$R477="DUE SOON",$R477="FOLLOW-UP DUE"),MAX(W$3:W476)+1,"")</f>
        <v/>
      </c>
    </row>
    <row r="478" customFormat="false" ht="15" hidden="false" customHeight="false" outlineLevel="0" collapsed="false">
      <c r="A478" s="33" t="str">
        <f aca="false">IF($D478="","","JOB-"&amp;TEXT(ROW()-3,"000"))</f>
        <v/>
      </c>
      <c r="B478" s="34"/>
      <c r="C478" s="35"/>
      <c r="D478" s="35"/>
      <c r="E478" s="35"/>
      <c r="F478" s="35"/>
      <c r="G478" s="33"/>
      <c r="H478" s="35"/>
      <c r="I478" s="35"/>
      <c r="J478" s="35"/>
      <c r="K478" s="33"/>
      <c r="L478" s="33"/>
      <c r="M478" s="34"/>
      <c r="N478" s="34"/>
      <c r="O478" s="34"/>
      <c r="P478" s="34" t="str">
        <f aca="false">IF(OR($D478="",$M478=""),"",IF(IFERROR(INDEX(Settings!$C$11:$C$19,MATCH($L478,Settings!$B$11:$B$19,0)),"Yes")="No","",MAX($M478,$O478)+Settings!$C$6))</f>
        <v/>
      </c>
      <c r="Q478" s="36" t="str">
        <f aca="true">IF($D478="","",IF(IFERROR(INDEX(Settings!$C$11:$C$19,MATCH($L478,Settings!$B$11:$B$19,0)),"Yes")="No","",IF($M478="",IF($N478="","",$N478-TODAY()),IF($P478="","",$P478-TODAY()))))</f>
        <v/>
      </c>
      <c r="R478" s="37" t="str">
        <f aca="true">IF($D478="","",IF(IFERROR(INDEX(Settings!$C$11:$C$19,MATCH($L478,Settings!$B$11:$B$19,0)),"Yes")="No","CLOSED",IF($M478="",IF($N478="","ON TRACK",IF($N478&lt;TODAY(),"OVERDUE",IF($N478-TODAY()&lt;=Settings!$C$5,"DUE SOON","ON TRACK"))),IF($P478&lt;=TODAY(),"FOLLOW-UP DUE","ON TRACK"))))</f>
        <v/>
      </c>
      <c r="S478" s="35"/>
      <c r="T478" s="35"/>
      <c r="U478" s="38"/>
      <c r="V478" s="34"/>
      <c r="W478" s="35" t="str">
        <f aca="false">IF(OR($R478="OVERDUE",$R478="DUE SOON",$R478="FOLLOW-UP DUE"),MAX(W$3:W477)+1,"")</f>
        <v/>
      </c>
    </row>
    <row r="479" customFormat="false" ht="15" hidden="false" customHeight="false" outlineLevel="0" collapsed="false">
      <c r="A479" s="33" t="str">
        <f aca="false">IF($D479="","","JOB-"&amp;TEXT(ROW()-3,"000"))</f>
        <v/>
      </c>
      <c r="B479" s="34"/>
      <c r="C479" s="35"/>
      <c r="D479" s="35"/>
      <c r="E479" s="35"/>
      <c r="F479" s="35"/>
      <c r="G479" s="33"/>
      <c r="H479" s="35"/>
      <c r="I479" s="35"/>
      <c r="J479" s="35"/>
      <c r="K479" s="33"/>
      <c r="L479" s="33"/>
      <c r="M479" s="34"/>
      <c r="N479" s="34"/>
      <c r="O479" s="34"/>
      <c r="P479" s="34" t="str">
        <f aca="false">IF(OR($D479="",$M479=""),"",IF(IFERROR(INDEX(Settings!$C$11:$C$19,MATCH($L479,Settings!$B$11:$B$19,0)),"Yes")="No","",MAX($M479,$O479)+Settings!$C$6))</f>
        <v/>
      </c>
      <c r="Q479" s="36" t="str">
        <f aca="true">IF($D479="","",IF(IFERROR(INDEX(Settings!$C$11:$C$19,MATCH($L479,Settings!$B$11:$B$19,0)),"Yes")="No","",IF($M479="",IF($N479="","",$N479-TODAY()),IF($P479="","",$P479-TODAY()))))</f>
        <v/>
      </c>
      <c r="R479" s="37" t="str">
        <f aca="true">IF($D479="","",IF(IFERROR(INDEX(Settings!$C$11:$C$19,MATCH($L479,Settings!$B$11:$B$19,0)),"Yes")="No","CLOSED",IF($M479="",IF($N479="","ON TRACK",IF($N479&lt;TODAY(),"OVERDUE",IF($N479-TODAY()&lt;=Settings!$C$5,"DUE SOON","ON TRACK"))),IF($P479&lt;=TODAY(),"FOLLOW-UP DUE","ON TRACK"))))</f>
        <v/>
      </c>
      <c r="S479" s="35"/>
      <c r="T479" s="35"/>
      <c r="U479" s="38"/>
      <c r="V479" s="34"/>
      <c r="W479" s="35" t="str">
        <f aca="false">IF(OR($R479="OVERDUE",$R479="DUE SOON",$R479="FOLLOW-UP DUE"),MAX(W$3:W478)+1,"")</f>
        <v/>
      </c>
    </row>
    <row r="480" customFormat="false" ht="15" hidden="false" customHeight="false" outlineLevel="0" collapsed="false">
      <c r="A480" s="33" t="str">
        <f aca="false">IF($D480="","","JOB-"&amp;TEXT(ROW()-3,"000"))</f>
        <v/>
      </c>
      <c r="B480" s="34"/>
      <c r="C480" s="35"/>
      <c r="D480" s="35"/>
      <c r="E480" s="35"/>
      <c r="F480" s="35"/>
      <c r="G480" s="33"/>
      <c r="H480" s="35"/>
      <c r="I480" s="35"/>
      <c r="J480" s="35"/>
      <c r="K480" s="33"/>
      <c r="L480" s="33"/>
      <c r="M480" s="34"/>
      <c r="N480" s="34"/>
      <c r="O480" s="34"/>
      <c r="P480" s="34" t="str">
        <f aca="false">IF(OR($D480="",$M480=""),"",IF(IFERROR(INDEX(Settings!$C$11:$C$19,MATCH($L480,Settings!$B$11:$B$19,0)),"Yes")="No","",MAX($M480,$O480)+Settings!$C$6))</f>
        <v/>
      </c>
      <c r="Q480" s="36" t="str">
        <f aca="true">IF($D480="","",IF(IFERROR(INDEX(Settings!$C$11:$C$19,MATCH($L480,Settings!$B$11:$B$19,0)),"Yes")="No","",IF($M480="",IF($N480="","",$N480-TODAY()),IF($P480="","",$P480-TODAY()))))</f>
        <v/>
      </c>
      <c r="R480" s="37" t="str">
        <f aca="true">IF($D480="","",IF(IFERROR(INDEX(Settings!$C$11:$C$19,MATCH($L480,Settings!$B$11:$B$19,0)),"Yes")="No","CLOSED",IF($M480="",IF($N480="","ON TRACK",IF($N480&lt;TODAY(),"OVERDUE",IF($N480-TODAY()&lt;=Settings!$C$5,"DUE SOON","ON TRACK"))),IF($P480&lt;=TODAY(),"FOLLOW-UP DUE","ON TRACK"))))</f>
        <v/>
      </c>
      <c r="S480" s="35"/>
      <c r="T480" s="35"/>
      <c r="U480" s="38"/>
      <c r="V480" s="34"/>
      <c r="W480" s="35" t="str">
        <f aca="false">IF(OR($R480="OVERDUE",$R480="DUE SOON",$R480="FOLLOW-UP DUE"),MAX(W$3:W479)+1,"")</f>
        <v/>
      </c>
    </row>
    <row r="481" customFormat="false" ht="15" hidden="false" customHeight="false" outlineLevel="0" collapsed="false">
      <c r="A481" s="33" t="str">
        <f aca="false">IF($D481="","","JOB-"&amp;TEXT(ROW()-3,"000"))</f>
        <v/>
      </c>
      <c r="B481" s="34"/>
      <c r="C481" s="35"/>
      <c r="D481" s="35"/>
      <c r="E481" s="35"/>
      <c r="F481" s="35"/>
      <c r="G481" s="33"/>
      <c r="H481" s="35"/>
      <c r="I481" s="35"/>
      <c r="J481" s="35"/>
      <c r="K481" s="33"/>
      <c r="L481" s="33"/>
      <c r="M481" s="34"/>
      <c r="N481" s="34"/>
      <c r="O481" s="34"/>
      <c r="P481" s="34" t="str">
        <f aca="false">IF(OR($D481="",$M481=""),"",IF(IFERROR(INDEX(Settings!$C$11:$C$19,MATCH($L481,Settings!$B$11:$B$19,0)),"Yes")="No","",MAX($M481,$O481)+Settings!$C$6))</f>
        <v/>
      </c>
      <c r="Q481" s="36" t="str">
        <f aca="true">IF($D481="","",IF(IFERROR(INDEX(Settings!$C$11:$C$19,MATCH($L481,Settings!$B$11:$B$19,0)),"Yes")="No","",IF($M481="",IF($N481="","",$N481-TODAY()),IF($P481="","",$P481-TODAY()))))</f>
        <v/>
      </c>
      <c r="R481" s="37" t="str">
        <f aca="true">IF($D481="","",IF(IFERROR(INDEX(Settings!$C$11:$C$19,MATCH($L481,Settings!$B$11:$B$19,0)),"Yes")="No","CLOSED",IF($M481="",IF($N481="","ON TRACK",IF($N481&lt;TODAY(),"OVERDUE",IF($N481-TODAY()&lt;=Settings!$C$5,"DUE SOON","ON TRACK"))),IF($P481&lt;=TODAY(),"FOLLOW-UP DUE","ON TRACK"))))</f>
        <v/>
      </c>
      <c r="S481" s="35"/>
      <c r="T481" s="35"/>
      <c r="U481" s="38"/>
      <c r="V481" s="34"/>
      <c r="W481" s="35" t="str">
        <f aca="false">IF(OR($R481="OVERDUE",$R481="DUE SOON",$R481="FOLLOW-UP DUE"),MAX(W$3:W480)+1,"")</f>
        <v/>
      </c>
    </row>
    <row r="482" customFormat="false" ht="15" hidden="false" customHeight="false" outlineLevel="0" collapsed="false">
      <c r="A482" s="33" t="str">
        <f aca="false">IF($D482="","","JOB-"&amp;TEXT(ROW()-3,"000"))</f>
        <v/>
      </c>
      <c r="B482" s="34"/>
      <c r="C482" s="35"/>
      <c r="D482" s="35"/>
      <c r="E482" s="35"/>
      <c r="F482" s="35"/>
      <c r="G482" s="33"/>
      <c r="H482" s="35"/>
      <c r="I482" s="35"/>
      <c r="J482" s="35"/>
      <c r="K482" s="33"/>
      <c r="L482" s="33"/>
      <c r="M482" s="34"/>
      <c r="N482" s="34"/>
      <c r="O482" s="34"/>
      <c r="P482" s="34" t="str">
        <f aca="false">IF(OR($D482="",$M482=""),"",IF(IFERROR(INDEX(Settings!$C$11:$C$19,MATCH($L482,Settings!$B$11:$B$19,0)),"Yes")="No","",MAX($M482,$O482)+Settings!$C$6))</f>
        <v/>
      </c>
      <c r="Q482" s="36" t="str">
        <f aca="true">IF($D482="","",IF(IFERROR(INDEX(Settings!$C$11:$C$19,MATCH($L482,Settings!$B$11:$B$19,0)),"Yes")="No","",IF($M482="",IF($N482="","",$N482-TODAY()),IF($P482="","",$P482-TODAY()))))</f>
        <v/>
      </c>
      <c r="R482" s="37" t="str">
        <f aca="true">IF($D482="","",IF(IFERROR(INDEX(Settings!$C$11:$C$19,MATCH($L482,Settings!$B$11:$B$19,0)),"Yes")="No","CLOSED",IF($M482="",IF($N482="","ON TRACK",IF($N482&lt;TODAY(),"OVERDUE",IF($N482-TODAY()&lt;=Settings!$C$5,"DUE SOON","ON TRACK"))),IF($P482&lt;=TODAY(),"FOLLOW-UP DUE","ON TRACK"))))</f>
        <v/>
      </c>
      <c r="S482" s="35"/>
      <c r="T482" s="35"/>
      <c r="U482" s="38"/>
      <c r="V482" s="34"/>
      <c r="W482" s="35" t="str">
        <f aca="false">IF(OR($R482="OVERDUE",$R482="DUE SOON",$R482="FOLLOW-UP DUE"),MAX(W$3:W481)+1,"")</f>
        <v/>
      </c>
    </row>
    <row r="483" customFormat="false" ht="15" hidden="false" customHeight="false" outlineLevel="0" collapsed="false">
      <c r="A483" s="33" t="str">
        <f aca="false">IF($D483="","","JOB-"&amp;TEXT(ROW()-3,"000"))</f>
        <v/>
      </c>
      <c r="B483" s="34"/>
      <c r="C483" s="35"/>
      <c r="D483" s="35"/>
      <c r="E483" s="35"/>
      <c r="F483" s="35"/>
      <c r="G483" s="33"/>
      <c r="H483" s="35"/>
      <c r="I483" s="35"/>
      <c r="J483" s="35"/>
      <c r="K483" s="33"/>
      <c r="L483" s="33"/>
      <c r="M483" s="34"/>
      <c r="N483" s="34"/>
      <c r="O483" s="34"/>
      <c r="P483" s="34" t="str">
        <f aca="false">IF(OR($D483="",$M483=""),"",IF(IFERROR(INDEX(Settings!$C$11:$C$19,MATCH($L483,Settings!$B$11:$B$19,0)),"Yes")="No","",MAX($M483,$O483)+Settings!$C$6))</f>
        <v/>
      </c>
      <c r="Q483" s="36" t="str">
        <f aca="true">IF($D483="","",IF(IFERROR(INDEX(Settings!$C$11:$C$19,MATCH($L483,Settings!$B$11:$B$19,0)),"Yes")="No","",IF($M483="",IF($N483="","",$N483-TODAY()),IF($P483="","",$P483-TODAY()))))</f>
        <v/>
      </c>
      <c r="R483" s="37" t="str">
        <f aca="true">IF($D483="","",IF(IFERROR(INDEX(Settings!$C$11:$C$19,MATCH($L483,Settings!$B$11:$B$19,0)),"Yes")="No","CLOSED",IF($M483="",IF($N483="","ON TRACK",IF($N483&lt;TODAY(),"OVERDUE",IF($N483-TODAY()&lt;=Settings!$C$5,"DUE SOON","ON TRACK"))),IF($P483&lt;=TODAY(),"FOLLOW-UP DUE","ON TRACK"))))</f>
        <v/>
      </c>
      <c r="S483" s="35"/>
      <c r="T483" s="35"/>
      <c r="U483" s="38"/>
      <c r="V483" s="34"/>
      <c r="W483" s="35" t="str">
        <f aca="false">IF(OR($R483="OVERDUE",$R483="DUE SOON",$R483="FOLLOW-UP DUE"),MAX(W$3:W482)+1,"")</f>
        <v/>
      </c>
    </row>
    <row r="484" customFormat="false" ht="15" hidden="false" customHeight="false" outlineLevel="0" collapsed="false">
      <c r="A484" s="33" t="str">
        <f aca="false">IF($D484="","","JOB-"&amp;TEXT(ROW()-3,"000"))</f>
        <v/>
      </c>
      <c r="B484" s="34"/>
      <c r="C484" s="35"/>
      <c r="D484" s="35"/>
      <c r="E484" s="35"/>
      <c r="F484" s="35"/>
      <c r="G484" s="33"/>
      <c r="H484" s="35"/>
      <c r="I484" s="35"/>
      <c r="J484" s="35"/>
      <c r="K484" s="33"/>
      <c r="L484" s="33"/>
      <c r="M484" s="34"/>
      <c r="N484" s="34"/>
      <c r="O484" s="34"/>
      <c r="P484" s="34" t="str">
        <f aca="false">IF(OR($D484="",$M484=""),"",IF(IFERROR(INDEX(Settings!$C$11:$C$19,MATCH($L484,Settings!$B$11:$B$19,0)),"Yes")="No","",MAX($M484,$O484)+Settings!$C$6))</f>
        <v/>
      </c>
      <c r="Q484" s="36" t="str">
        <f aca="true">IF($D484="","",IF(IFERROR(INDEX(Settings!$C$11:$C$19,MATCH($L484,Settings!$B$11:$B$19,0)),"Yes")="No","",IF($M484="",IF($N484="","",$N484-TODAY()),IF($P484="","",$P484-TODAY()))))</f>
        <v/>
      </c>
      <c r="R484" s="37" t="str">
        <f aca="true">IF($D484="","",IF(IFERROR(INDEX(Settings!$C$11:$C$19,MATCH($L484,Settings!$B$11:$B$19,0)),"Yes")="No","CLOSED",IF($M484="",IF($N484="","ON TRACK",IF($N484&lt;TODAY(),"OVERDUE",IF($N484-TODAY()&lt;=Settings!$C$5,"DUE SOON","ON TRACK"))),IF($P484&lt;=TODAY(),"FOLLOW-UP DUE","ON TRACK"))))</f>
        <v/>
      </c>
      <c r="S484" s="35"/>
      <c r="T484" s="35"/>
      <c r="U484" s="38"/>
      <c r="V484" s="34"/>
      <c r="W484" s="35" t="str">
        <f aca="false">IF(OR($R484="OVERDUE",$R484="DUE SOON",$R484="FOLLOW-UP DUE"),MAX(W$3:W483)+1,"")</f>
        <v/>
      </c>
    </row>
    <row r="485" customFormat="false" ht="15" hidden="false" customHeight="false" outlineLevel="0" collapsed="false">
      <c r="A485" s="33" t="str">
        <f aca="false">IF($D485="","","JOB-"&amp;TEXT(ROW()-3,"000"))</f>
        <v/>
      </c>
      <c r="B485" s="34"/>
      <c r="C485" s="35"/>
      <c r="D485" s="35"/>
      <c r="E485" s="35"/>
      <c r="F485" s="35"/>
      <c r="G485" s="33"/>
      <c r="H485" s="35"/>
      <c r="I485" s="35"/>
      <c r="J485" s="35"/>
      <c r="K485" s="33"/>
      <c r="L485" s="33"/>
      <c r="M485" s="34"/>
      <c r="N485" s="34"/>
      <c r="O485" s="34"/>
      <c r="P485" s="34" t="str">
        <f aca="false">IF(OR($D485="",$M485=""),"",IF(IFERROR(INDEX(Settings!$C$11:$C$19,MATCH($L485,Settings!$B$11:$B$19,0)),"Yes")="No","",MAX($M485,$O485)+Settings!$C$6))</f>
        <v/>
      </c>
      <c r="Q485" s="36" t="str">
        <f aca="true">IF($D485="","",IF(IFERROR(INDEX(Settings!$C$11:$C$19,MATCH($L485,Settings!$B$11:$B$19,0)),"Yes")="No","",IF($M485="",IF($N485="","",$N485-TODAY()),IF($P485="","",$P485-TODAY()))))</f>
        <v/>
      </c>
      <c r="R485" s="37" t="str">
        <f aca="true">IF($D485="","",IF(IFERROR(INDEX(Settings!$C$11:$C$19,MATCH($L485,Settings!$B$11:$B$19,0)),"Yes")="No","CLOSED",IF($M485="",IF($N485="","ON TRACK",IF($N485&lt;TODAY(),"OVERDUE",IF($N485-TODAY()&lt;=Settings!$C$5,"DUE SOON","ON TRACK"))),IF($P485&lt;=TODAY(),"FOLLOW-UP DUE","ON TRACK"))))</f>
        <v/>
      </c>
      <c r="S485" s="35"/>
      <c r="T485" s="35"/>
      <c r="U485" s="38"/>
      <c r="V485" s="34"/>
      <c r="W485" s="35" t="str">
        <f aca="false">IF(OR($R485="OVERDUE",$R485="DUE SOON",$R485="FOLLOW-UP DUE"),MAX(W$3:W484)+1,"")</f>
        <v/>
      </c>
    </row>
    <row r="486" customFormat="false" ht="15" hidden="false" customHeight="false" outlineLevel="0" collapsed="false">
      <c r="A486" s="33" t="str">
        <f aca="false">IF($D486="","","JOB-"&amp;TEXT(ROW()-3,"000"))</f>
        <v/>
      </c>
      <c r="B486" s="34"/>
      <c r="C486" s="35"/>
      <c r="D486" s="35"/>
      <c r="E486" s="35"/>
      <c r="F486" s="35"/>
      <c r="G486" s="33"/>
      <c r="H486" s="35"/>
      <c r="I486" s="35"/>
      <c r="J486" s="35"/>
      <c r="K486" s="33"/>
      <c r="L486" s="33"/>
      <c r="M486" s="34"/>
      <c r="N486" s="34"/>
      <c r="O486" s="34"/>
      <c r="P486" s="34" t="str">
        <f aca="false">IF(OR($D486="",$M486=""),"",IF(IFERROR(INDEX(Settings!$C$11:$C$19,MATCH($L486,Settings!$B$11:$B$19,0)),"Yes")="No","",MAX($M486,$O486)+Settings!$C$6))</f>
        <v/>
      </c>
      <c r="Q486" s="36" t="str">
        <f aca="true">IF($D486="","",IF(IFERROR(INDEX(Settings!$C$11:$C$19,MATCH($L486,Settings!$B$11:$B$19,0)),"Yes")="No","",IF($M486="",IF($N486="","",$N486-TODAY()),IF($P486="","",$P486-TODAY()))))</f>
        <v/>
      </c>
      <c r="R486" s="37" t="str">
        <f aca="true">IF($D486="","",IF(IFERROR(INDEX(Settings!$C$11:$C$19,MATCH($L486,Settings!$B$11:$B$19,0)),"Yes")="No","CLOSED",IF($M486="",IF($N486="","ON TRACK",IF($N486&lt;TODAY(),"OVERDUE",IF($N486-TODAY()&lt;=Settings!$C$5,"DUE SOON","ON TRACK"))),IF($P486&lt;=TODAY(),"FOLLOW-UP DUE","ON TRACK"))))</f>
        <v/>
      </c>
      <c r="S486" s="35"/>
      <c r="T486" s="35"/>
      <c r="U486" s="38"/>
      <c r="V486" s="34"/>
      <c r="W486" s="35" t="str">
        <f aca="false">IF(OR($R486="OVERDUE",$R486="DUE SOON",$R486="FOLLOW-UP DUE"),MAX(W$3:W485)+1,"")</f>
        <v/>
      </c>
    </row>
    <row r="487" customFormat="false" ht="15" hidden="false" customHeight="false" outlineLevel="0" collapsed="false">
      <c r="A487" s="33" t="str">
        <f aca="false">IF($D487="","","JOB-"&amp;TEXT(ROW()-3,"000"))</f>
        <v/>
      </c>
      <c r="B487" s="34"/>
      <c r="C487" s="35"/>
      <c r="D487" s="35"/>
      <c r="E487" s="35"/>
      <c r="F487" s="35"/>
      <c r="G487" s="33"/>
      <c r="H487" s="35"/>
      <c r="I487" s="35"/>
      <c r="J487" s="35"/>
      <c r="K487" s="33"/>
      <c r="L487" s="33"/>
      <c r="M487" s="34"/>
      <c r="N487" s="34"/>
      <c r="O487" s="34"/>
      <c r="P487" s="34" t="str">
        <f aca="false">IF(OR($D487="",$M487=""),"",IF(IFERROR(INDEX(Settings!$C$11:$C$19,MATCH($L487,Settings!$B$11:$B$19,0)),"Yes")="No","",MAX($M487,$O487)+Settings!$C$6))</f>
        <v/>
      </c>
      <c r="Q487" s="36" t="str">
        <f aca="true">IF($D487="","",IF(IFERROR(INDEX(Settings!$C$11:$C$19,MATCH($L487,Settings!$B$11:$B$19,0)),"Yes")="No","",IF($M487="",IF($N487="","",$N487-TODAY()),IF($P487="","",$P487-TODAY()))))</f>
        <v/>
      </c>
      <c r="R487" s="37" t="str">
        <f aca="true">IF($D487="","",IF(IFERROR(INDEX(Settings!$C$11:$C$19,MATCH($L487,Settings!$B$11:$B$19,0)),"Yes")="No","CLOSED",IF($M487="",IF($N487="","ON TRACK",IF($N487&lt;TODAY(),"OVERDUE",IF($N487-TODAY()&lt;=Settings!$C$5,"DUE SOON","ON TRACK"))),IF($P487&lt;=TODAY(),"FOLLOW-UP DUE","ON TRACK"))))</f>
        <v/>
      </c>
      <c r="S487" s="35"/>
      <c r="T487" s="35"/>
      <c r="U487" s="38"/>
      <c r="V487" s="34"/>
      <c r="W487" s="35" t="str">
        <f aca="false">IF(OR($R487="OVERDUE",$R487="DUE SOON",$R487="FOLLOW-UP DUE"),MAX(W$3:W486)+1,"")</f>
        <v/>
      </c>
    </row>
    <row r="488" customFormat="false" ht="15" hidden="false" customHeight="false" outlineLevel="0" collapsed="false">
      <c r="A488" s="33" t="str">
        <f aca="false">IF($D488="","","JOB-"&amp;TEXT(ROW()-3,"000"))</f>
        <v/>
      </c>
      <c r="B488" s="34"/>
      <c r="C488" s="35"/>
      <c r="D488" s="35"/>
      <c r="E488" s="35"/>
      <c r="F488" s="35"/>
      <c r="G488" s="33"/>
      <c r="H488" s="35"/>
      <c r="I488" s="35"/>
      <c r="J488" s="35"/>
      <c r="K488" s="33"/>
      <c r="L488" s="33"/>
      <c r="M488" s="34"/>
      <c r="N488" s="34"/>
      <c r="O488" s="34"/>
      <c r="P488" s="34" t="str">
        <f aca="false">IF(OR($D488="",$M488=""),"",IF(IFERROR(INDEX(Settings!$C$11:$C$19,MATCH($L488,Settings!$B$11:$B$19,0)),"Yes")="No","",MAX($M488,$O488)+Settings!$C$6))</f>
        <v/>
      </c>
      <c r="Q488" s="36" t="str">
        <f aca="true">IF($D488="","",IF(IFERROR(INDEX(Settings!$C$11:$C$19,MATCH($L488,Settings!$B$11:$B$19,0)),"Yes")="No","",IF($M488="",IF($N488="","",$N488-TODAY()),IF($P488="","",$P488-TODAY()))))</f>
        <v/>
      </c>
      <c r="R488" s="37" t="str">
        <f aca="true">IF($D488="","",IF(IFERROR(INDEX(Settings!$C$11:$C$19,MATCH($L488,Settings!$B$11:$B$19,0)),"Yes")="No","CLOSED",IF($M488="",IF($N488="","ON TRACK",IF($N488&lt;TODAY(),"OVERDUE",IF($N488-TODAY()&lt;=Settings!$C$5,"DUE SOON","ON TRACK"))),IF($P488&lt;=TODAY(),"FOLLOW-UP DUE","ON TRACK"))))</f>
        <v/>
      </c>
      <c r="S488" s="35"/>
      <c r="T488" s="35"/>
      <c r="U488" s="38"/>
      <c r="V488" s="34"/>
      <c r="W488" s="35" t="str">
        <f aca="false">IF(OR($R488="OVERDUE",$R488="DUE SOON",$R488="FOLLOW-UP DUE"),MAX(W$3:W487)+1,"")</f>
        <v/>
      </c>
    </row>
    <row r="489" customFormat="false" ht="15" hidden="false" customHeight="false" outlineLevel="0" collapsed="false">
      <c r="A489" s="33" t="str">
        <f aca="false">IF($D489="","","JOB-"&amp;TEXT(ROW()-3,"000"))</f>
        <v/>
      </c>
      <c r="B489" s="34"/>
      <c r="C489" s="35"/>
      <c r="D489" s="35"/>
      <c r="E489" s="35"/>
      <c r="F489" s="35"/>
      <c r="G489" s="33"/>
      <c r="H489" s="35"/>
      <c r="I489" s="35"/>
      <c r="J489" s="35"/>
      <c r="K489" s="33"/>
      <c r="L489" s="33"/>
      <c r="M489" s="34"/>
      <c r="N489" s="34"/>
      <c r="O489" s="34"/>
      <c r="P489" s="34" t="str">
        <f aca="false">IF(OR($D489="",$M489=""),"",IF(IFERROR(INDEX(Settings!$C$11:$C$19,MATCH($L489,Settings!$B$11:$B$19,0)),"Yes")="No","",MAX($M489,$O489)+Settings!$C$6))</f>
        <v/>
      </c>
      <c r="Q489" s="36" t="str">
        <f aca="true">IF($D489="","",IF(IFERROR(INDEX(Settings!$C$11:$C$19,MATCH($L489,Settings!$B$11:$B$19,0)),"Yes")="No","",IF($M489="",IF($N489="","",$N489-TODAY()),IF($P489="","",$P489-TODAY()))))</f>
        <v/>
      </c>
      <c r="R489" s="37" t="str">
        <f aca="true">IF($D489="","",IF(IFERROR(INDEX(Settings!$C$11:$C$19,MATCH($L489,Settings!$B$11:$B$19,0)),"Yes")="No","CLOSED",IF($M489="",IF($N489="","ON TRACK",IF($N489&lt;TODAY(),"OVERDUE",IF($N489-TODAY()&lt;=Settings!$C$5,"DUE SOON","ON TRACK"))),IF($P489&lt;=TODAY(),"FOLLOW-UP DUE","ON TRACK"))))</f>
        <v/>
      </c>
      <c r="S489" s="35"/>
      <c r="T489" s="35"/>
      <c r="U489" s="38"/>
      <c r="V489" s="34"/>
      <c r="W489" s="35" t="str">
        <f aca="false">IF(OR($R489="OVERDUE",$R489="DUE SOON",$R489="FOLLOW-UP DUE"),MAX(W$3:W488)+1,"")</f>
        <v/>
      </c>
    </row>
    <row r="490" customFormat="false" ht="15" hidden="false" customHeight="false" outlineLevel="0" collapsed="false">
      <c r="A490" s="33" t="str">
        <f aca="false">IF($D490="","","JOB-"&amp;TEXT(ROW()-3,"000"))</f>
        <v/>
      </c>
      <c r="B490" s="34"/>
      <c r="C490" s="35"/>
      <c r="D490" s="35"/>
      <c r="E490" s="35"/>
      <c r="F490" s="35"/>
      <c r="G490" s="33"/>
      <c r="H490" s="35"/>
      <c r="I490" s="35"/>
      <c r="J490" s="35"/>
      <c r="K490" s="33"/>
      <c r="L490" s="33"/>
      <c r="M490" s="34"/>
      <c r="N490" s="34"/>
      <c r="O490" s="34"/>
      <c r="P490" s="34" t="str">
        <f aca="false">IF(OR($D490="",$M490=""),"",IF(IFERROR(INDEX(Settings!$C$11:$C$19,MATCH($L490,Settings!$B$11:$B$19,0)),"Yes")="No","",MAX($M490,$O490)+Settings!$C$6))</f>
        <v/>
      </c>
      <c r="Q490" s="36" t="str">
        <f aca="true">IF($D490="","",IF(IFERROR(INDEX(Settings!$C$11:$C$19,MATCH($L490,Settings!$B$11:$B$19,0)),"Yes")="No","",IF($M490="",IF($N490="","",$N490-TODAY()),IF($P490="","",$P490-TODAY()))))</f>
        <v/>
      </c>
      <c r="R490" s="37" t="str">
        <f aca="true">IF($D490="","",IF(IFERROR(INDEX(Settings!$C$11:$C$19,MATCH($L490,Settings!$B$11:$B$19,0)),"Yes")="No","CLOSED",IF($M490="",IF($N490="","ON TRACK",IF($N490&lt;TODAY(),"OVERDUE",IF($N490-TODAY()&lt;=Settings!$C$5,"DUE SOON","ON TRACK"))),IF($P490&lt;=TODAY(),"FOLLOW-UP DUE","ON TRACK"))))</f>
        <v/>
      </c>
      <c r="S490" s="35"/>
      <c r="T490" s="35"/>
      <c r="U490" s="38"/>
      <c r="V490" s="34"/>
      <c r="W490" s="35" t="str">
        <f aca="false">IF(OR($R490="OVERDUE",$R490="DUE SOON",$R490="FOLLOW-UP DUE"),MAX(W$3:W489)+1,"")</f>
        <v/>
      </c>
    </row>
    <row r="491" customFormat="false" ht="15" hidden="false" customHeight="false" outlineLevel="0" collapsed="false">
      <c r="A491" s="33" t="str">
        <f aca="false">IF($D491="","","JOB-"&amp;TEXT(ROW()-3,"000"))</f>
        <v/>
      </c>
      <c r="B491" s="34"/>
      <c r="C491" s="35"/>
      <c r="D491" s="35"/>
      <c r="E491" s="35"/>
      <c r="F491" s="35"/>
      <c r="G491" s="33"/>
      <c r="H491" s="35"/>
      <c r="I491" s="35"/>
      <c r="J491" s="35"/>
      <c r="K491" s="33"/>
      <c r="L491" s="33"/>
      <c r="M491" s="34"/>
      <c r="N491" s="34"/>
      <c r="O491" s="34"/>
      <c r="P491" s="34" t="str">
        <f aca="false">IF(OR($D491="",$M491=""),"",IF(IFERROR(INDEX(Settings!$C$11:$C$19,MATCH($L491,Settings!$B$11:$B$19,0)),"Yes")="No","",MAX($M491,$O491)+Settings!$C$6))</f>
        <v/>
      </c>
      <c r="Q491" s="36" t="str">
        <f aca="true">IF($D491="","",IF(IFERROR(INDEX(Settings!$C$11:$C$19,MATCH($L491,Settings!$B$11:$B$19,0)),"Yes")="No","",IF($M491="",IF($N491="","",$N491-TODAY()),IF($P491="","",$P491-TODAY()))))</f>
        <v/>
      </c>
      <c r="R491" s="37" t="str">
        <f aca="true">IF($D491="","",IF(IFERROR(INDEX(Settings!$C$11:$C$19,MATCH($L491,Settings!$B$11:$B$19,0)),"Yes")="No","CLOSED",IF($M491="",IF($N491="","ON TRACK",IF($N491&lt;TODAY(),"OVERDUE",IF($N491-TODAY()&lt;=Settings!$C$5,"DUE SOON","ON TRACK"))),IF($P491&lt;=TODAY(),"FOLLOW-UP DUE","ON TRACK"))))</f>
        <v/>
      </c>
      <c r="S491" s="35"/>
      <c r="T491" s="35"/>
      <c r="U491" s="38"/>
      <c r="V491" s="34"/>
      <c r="W491" s="35" t="str">
        <f aca="false">IF(OR($R491="OVERDUE",$R491="DUE SOON",$R491="FOLLOW-UP DUE"),MAX(W$3:W490)+1,"")</f>
        <v/>
      </c>
    </row>
    <row r="492" customFormat="false" ht="15" hidden="false" customHeight="false" outlineLevel="0" collapsed="false">
      <c r="A492" s="33" t="str">
        <f aca="false">IF($D492="","","JOB-"&amp;TEXT(ROW()-3,"000"))</f>
        <v/>
      </c>
      <c r="B492" s="34"/>
      <c r="C492" s="35"/>
      <c r="D492" s="35"/>
      <c r="E492" s="35"/>
      <c r="F492" s="35"/>
      <c r="G492" s="33"/>
      <c r="H492" s="35"/>
      <c r="I492" s="35"/>
      <c r="J492" s="35"/>
      <c r="K492" s="33"/>
      <c r="L492" s="33"/>
      <c r="M492" s="34"/>
      <c r="N492" s="34"/>
      <c r="O492" s="34"/>
      <c r="P492" s="34" t="str">
        <f aca="false">IF(OR($D492="",$M492=""),"",IF(IFERROR(INDEX(Settings!$C$11:$C$19,MATCH($L492,Settings!$B$11:$B$19,0)),"Yes")="No","",MAX($M492,$O492)+Settings!$C$6))</f>
        <v/>
      </c>
      <c r="Q492" s="36" t="str">
        <f aca="true">IF($D492="","",IF(IFERROR(INDEX(Settings!$C$11:$C$19,MATCH($L492,Settings!$B$11:$B$19,0)),"Yes")="No","",IF($M492="",IF($N492="","",$N492-TODAY()),IF($P492="","",$P492-TODAY()))))</f>
        <v/>
      </c>
      <c r="R492" s="37" t="str">
        <f aca="true">IF($D492="","",IF(IFERROR(INDEX(Settings!$C$11:$C$19,MATCH($L492,Settings!$B$11:$B$19,0)),"Yes")="No","CLOSED",IF($M492="",IF($N492="","ON TRACK",IF($N492&lt;TODAY(),"OVERDUE",IF($N492-TODAY()&lt;=Settings!$C$5,"DUE SOON","ON TRACK"))),IF($P492&lt;=TODAY(),"FOLLOW-UP DUE","ON TRACK"))))</f>
        <v/>
      </c>
      <c r="S492" s="35"/>
      <c r="T492" s="35"/>
      <c r="U492" s="38"/>
      <c r="V492" s="34"/>
      <c r="W492" s="35" t="str">
        <f aca="false">IF(OR($R492="OVERDUE",$R492="DUE SOON",$R492="FOLLOW-UP DUE"),MAX(W$3:W491)+1,"")</f>
        <v/>
      </c>
    </row>
    <row r="493" customFormat="false" ht="15" hidden="false" customHeight="false" outlineLevel="0" collapsed="false">
      <c r="A493" s="33" t="str">
        <f aca="false">IF($D493="","","JOB-"&amp;TEXT(ROW()-3,"000"))</f>
        <v/>
      </c>
      <c r="B493" s="34"/>
      <c r="C493" s="35"/>
      <c r="D493" s="35"/>
      <c r="E493" s="35"/>
      <c r="F493" s="35"/>
      <c r="G493" s="33"/>
      <c r="H493" s="35"/>
      <c r="I493" s="35"/>
      <c r="J493" s="35"/>
      <c r="K493" s="33"/>
      <c r="L493" s="33"/>
      <c r="M493" s="34"/>
      <c r="N493" s="34"/>
      <c r="O493" s="34"/>
      <c r="P493" s="34" t="str">
        <f aca="false">IF(OR($D493="",$M493=""),"",IF(IFERROR(INDEX(Settings!$C$11:$C$19,MATCH($L493,Settings!$B$11:$B$19,0)),"Yes")="No","",MAX($M493,$O493)+Settings!$C$6))</f>
        <v/>
      </c>
      <c r="Q493" s="36" t="str">
        <f aca="true">IF($D493="","",IF(IFERROR(INDEX(Settings!$C$11:$C$19,MATCH($L493,Settings!$B$11:$B$19,0)),"Yes")="No","",IF($M493="",IF($N493="","",$N493-TODAY()),IF($P493="","",$P493-TODAY()))))</f>
        <v/>
      </c>
      <c r="R493" s="37" t="str">
        <f aca="true">IF($D493="","",IF(IFERROR(INDEX(Settings!$C$11:$C$19,MATCH($L493,Settings!$B$11:$B$19,0)),"Yes")="No","CLOSED",IF($M493="",IF($N493="","ON TRACK",IF($N493&lt;TODAY(),"OVERDUE",IF($N493-TODAY()&lt;=Settings!$C$5,"DUE SOON","ON TRACK"))),IF($P493&lt;=TODAY(),"FOLLOW-UP DUE","ON TRACK"))))</f>
        <v/>
      </c>
      <c r="S493" s="35"/>
      <c r="T493" s="35"/>
      <c r="U493" s="38"/>
      <c r="V493" s="34"/>
      <c r="W493" s="35" t="str">
        <f aca="false">IF(OR($R493="OVERDUE",$R493="DUE SOON",$R493="FOLLOW-UP DUE"),MAX(W$3:W492)+1,"")</f>
        <v/>
      </c>
    </row>
    <row r="494" customFormat="false" ht="15" hidden="false" customHeight="false" outlineLevel="0" collapsed="false">
      <c r="A494" s="33" t="str">
        <f aca="false">IF($D494="","","JOB-"&amp;TEXT(ROW()-3,"000"))</f>
        <v/>
      </c>
      <c r="B494" s="34"/>
      <c r="C494" s="35"/>
      <c r="D494" s="35"/>
      <c r="E494" s="35"/>
      <c r="F494" s="35"/>
      <c r="G494" s="33"/>
      <c r="H494" s="35"/>
      <c r="I494" s="35"/>
      <c r="J494" s="35"/>
      <c r="K494" s="33"/>
      <c r="L494" s="33"/>
      <c r="M494" s="34"/>
      <c r="N494" s="34"/>
      <c r="O494" s="34"/>
      <c r="P494" s="34" t="str">
        <f aca="false">IF(OR($D494="",$M494=""),"",IF(IFERROR(INDEX(Settings!$C$11:$C$19,MATCH($L494,Settings!$B$11:$B$19,0)),"Yes")="No","",MAX($M494,$O494)+Settings!$C$6))</f>
        <v/>
      </c>
      <c r="Q494" s="36" t="str">
        <f aca="true">IF($D494="","",IF(IFERROR(INDEX(Settings!$C$11:$C$19,MATCH($L494,Settings!$B$11:$B$19,0)),"Yes")="No","",IF($M494="",IF($N494="","",$N494-TODAY()),IF($P494="","",$P494-TODAY()))))</f>
        <v/>
      </c>
      <c r="R494" s="37" t="str">
        <f aca="true">IF($D494="","",IF(IFERROR(INDEX(Settings!$C$11:$C$19,MATCH($L494,Settings!$B$11:$B$19,0)),"Yes")="No","CLOSED",IF($M494="",IF($N494="","ON TRACK",IF($N494&lt;TODAY(),"OVERDUE",IF($N494-TODAY()&lt;=Settings!$C$5,"DUE SOON","ON TRACK"))),IF($P494&lt;=TODAY(),"FOLLOW-UP DUE","ON TRACK"))))</f>
        <v/>
      </c>
      <c r="S494" s="35"/>
      <c r="T494" s="35"/>
      <c r="U494" s="38"/>
      <c r="V494" s="34"/>
      <c r="W494" s="35" t="str">
        <f aca="false">IF(OR($R494="OVERDUE",$R494="DUE SOON",$R494="FOLLOW-UP DUE"),MAX(W$3:W493)+1,"")</f>
        <v/>
      </c>
    </row>
    <row r="495" customFormat="false" ht="15" hidden="false" customHeight="false" outlineLevel="0" collapsed="false">
      <c r="A495" s="33" t="str">
        <f aca="false">IF($D495="","","JOB-"&amp;TEXT(ROW()-3,"000"))</f>
        <v/>
      </c>
      <c r="B495" s="34"/>
      <c r="C495" s="35"/>
      <c r="D495" s="35"/>
      <c r="E495" s="35"/>
      <c r="F495" s="35"/>
      <c r="G495" s="33"/>
      <c r="H495" s="35"/>
      <c r="I495" s="35"/>
      <c r="J495" s="35"/>
      <c r="K495" s="33"/>
      <c r="L495" s="33"/>
      <c r="M495" s="34"/>
      <c r="N495" s="34"/>
      <c r="O495" s="34"/>
      <c r="P495" s="34" t="str">
        <f aca="false">IF(OR($D495="",$M495=""),"",IF(IFERROR(INDEX(Settings!$C$11:$C$19,MATCH($L495,Settings!$B$11:$B$19,0)),"Yes")="No","",MAX($M495,$O495)+Settings!$C$6))</f>
        <v/>
      </c>
      <c r="Q495" s="36" t="str">
        <f aca="true">IF($D495="","",IF(IFERROR(INDEX(Settings!$C$11:$C$19,MATCH($L495,Settings!$B$11:$B$19,0)),"Yes")="No","",IF($M495="",IF($N495="","",$N495-TODAY()),IF($P495="","",$P495-TODAY()))))</f>
        <v/>
      </c>
      <c r="R495" s="37" t="str">
        <f aca="true">IF($D495="","",IF(IFERROR(INDEX(Settings!$C$11:$C$19,MATCH($L495,Settings!$B$11:$B$19,0)),"Yes")="No","CLOSED",IF($M495="",IF($N495="","ON TRACK",IF($N495&lt;TODAY(),"OVERDUE",IF($N495-TODAY()&lt;=Settings!$C$5,"DUE SOON","ON TRACK"))),IF($P495&lt;=TODAY(),"FOLLOW-UP DUE","ON TRACK"))))</f>
        <v/>
      </c>
      <c r="S495" s="35"/>
      <c r="T495" s="35"/>
      <c r="U495" s="38"/>
      <c r="V495" s="34"/>
      <c r="W495" s="35" t="str">
        <f aca="false">IF(OR($R495="OVERDUE",$R495="DUE SOON",$R495="FOLLOW-UP DUE"),MAX(W$3:W494)+1,"")</f>
        <v/>
      </c>
    </row>
    <row r="496" customFormat="false" ht="15" hidden="false" customHeight="false" outlineLevel="0" collapsed="false">
      <c r="A496" s="33" t="str">
        <f aca="false">IF($D496="","","JOB-"&amp;TEXT(ROW()-3,"000"))</f>
        <v/>
      </c>
      <c r="B496" s="34"/>
      <c r="C496" s="35"/>
      <c r="D496" s="35"/>
      <c r="E496" s="35"/>
      <c r="F496" s="35"/>
      <c r="G496" s="33"/>
      <c r="H496" s="35"/>
      <c r="I496" s="35"/>
      <c r="J496" s="35"/>
      <c r="K496" s="33"/>
      <c r="L496" s="33"/>
      <c r="M496" s="34"/>
      <c r="N496" s="34"/>
      <c r="O496" s="34"/>
      <c r="P496" s="34" t="str">
        <f aca="false">IF(OR($D496="",$M496=""),"",IF(IFERROR(INDEX(Settings!$C$11:$C$19,MATCH($L496,Settings!$B$11:$B$19,0)),"Yes")="No","",MAX($M496,$O496)+Settings!$C$6))</f>
        <v/>
      </c>
      <c r="Q496" s="36" t="str">
        <f aca="true">IF($D496="","",IF(IFERROR(INDEX(Settings!$C$11:$C$19,MATCH($L496,Settings!$B$11:$B$19,0)),"Yes")="No","",IF($M496="",IF($N496="","",$N496-TODAY()),IF($P496="","",$P496-TODAY()))))</f>
        <v/>
      </c>
      <c r="R496" s="37" t="str">
        <f aca="true">IF($D496="","",IF(IFERROR(INDEX(Settings!$C$11:$C$19,MATCH($L496,Settings!$B$11:$B$19,0)),"Yes")="No","CLOSED",IF($M496="",IF($N496="","ON TRACK",IF($N496&lt;TODAY(),"OVERDUE",IF($N496-TODAY()&lt;=Settings!$C$5,"DUE SOON","ON TRACK"))),IF($P496&lt;=TODAY(),"FOLLOW-UP DUE","ON TRACK"))))</f>
        <v/>
      </c>
      <c r="S496" s="35"/>
      <c r="T496" s="35"/>
      <c r="U496" s="38"/>
      <c r="V496" s="34"/>
      <c r="W496" s="35" t="str">
        <f aca="false">IF(OR($R496="OVERDUE",$R496="DUE SOON",$R496="FOLLOW-UP DUE"),MAX(W$3:W495)+1,"")</f>
        <v/>
      </c>
    </row>
    <row r="497" customFormat="false" ht="15" hidden="false" customHeight="false" outlineLevel="0" collapsed="false">
      <c r="A497" s="33" t="str">
        <f aca="false">IF($D497="","","JOB-"&amp;TEXT(ROW()-3,"000"))</f>
        <v/>
      </c>
      <c r="B497" s="34"/>
      <c r="C497" s="35"/>
      <c r="D497" s="35"/>
      <c r="E497" s="35"/>
      <c r="F497" s="35"/>
      <c r="G497" s="33"/>
      <c r="H497" s="35"/>
      <c r="I497" s="35"/>
      <c r="J497" s="35"/>
      <c r="K497" s="33"/>
      <c r="L497" s="33"/>
      <c r="M497" s="34"/>
      <c r="N497" s="34"/>
      <c r="O497" s="34"/>
      <c r="P497" s="34" t="str">
        <f aca="false">IF(OR($D497="",$M497=""),"",IF(IFERROR(INDEX(Settings!$C$11:$C$19,MATCH($L497,Settings!$B$11:$B$19,0)),"Yes")="No","",MAX($M497,$O497)+Settings!$C$6))</f>
        <v/>
      </c>
      <c r="Q497" s="36" t="str">
        <f aca="true">IF($D497="","",IF(IFERROR(INDEX(Settings!$C$11:$C$19,MATCH($L497,Settings!$B$11:$B$19,0)),"Yes")="No","",IF($M497="",IF($N497="","",$N497-TODAY()),IF($P497="","",$P497-TODAY()))))</f>
        <v/>
      </c>
      <c r="R497" s="37" t="str">
        <f aca="true">IF($D497="","",IF(IFERROR(INDEX(Settings!$C$11:$C$19,MATCH($L497,Settings!$B$11:$B$19,0)),"Yes")="No","CLOSED",IF($M497="",IF($N497="","ON TRACK",IF($N497&lt;TODAY(),"OVERDUE",IF($N497-TODAY()&lt;=Settings!$C$5,"DUE SOON","ON TRACK"))),IF($P497&lt;=TODAY(),"FOLLOW-UP DUE","ON TRACK"))))</f>
        <v/>
      </c>
      <c r="S497" s="35"/>
      <c r="T497" s="35"/>
      <c r="U497" s="38"/>
      <c r="V497" s="34"/>
      <c r="W497" s="35" t="str">
        <f aca="false">IF(OR($R497="OVERDUE",$R497="DUE SOON",$R497="FOLLOW-UP DUE"),MAX(W$3:W496)+1,"")</f>
        <v/>
      </c>
    </row>
    <row r="498" customFormat="false" ht="15" hidden="false" customHeight="false" outlineLevel="0" collapsed="false">
      <c r="A498" s="33" t="str">
        <f aca="false">IF($D498="","","JOB-"&amp;TEXT(ROW()-3,"000"))</f>
        <v/>
      </c>
      <c r="B498" s="34"/>
      <c r="C498" s="35"/>
      <c r="D498" s="35"/>
      <c r="E498" s="35"/>
      <c r="F498" s="35"/>
      <c r="G498" s="33"/>
      <c r="H498" s="35"/>
      <c r="I498" s="35"/>
      <c r="J498" s="35"/>
      <c r="K498" s="33"/>
      <c r="L498" s="33"/>
      <c r="M498" s="34"/>
      <c r="N498" s="34"/>
      <c r="O498" s="34"/>
      <c r="P498" s="34" t="str">
        <f aca="false">IF(OR($D498="",$M498=""),"",IF(IFERROR(INDEX(Settings!$C$11:$C$19,MATCH($L498,Settings!$B$11:$B$19,0)),"Yes")="No","",MAX($M498,$O498)+Settings!$C$6))</f>
        <v/>
      </c>
      <c r="Q498" s="36" t="str">
        <f aca="true">IF($D498="","",IF(IFERROR(INDEX(Settings!$C$11:$C$19,MATCH($L498,Settings!$B$11:$B$19,0)),"Yes")="No","",IF($M498="",IF($N498="","",$N498-TODAY()),IF($P498="","",$P498-TODAY()))))</f>
        <v/>
      </c>
      <c r="R498" s="37" t="str">
        <f aca="true">IF($D498="","",IF(IFERROR(INDEX(Settings!$C$11:$C$19,MATCH($L498,Settings!$B$11:$B$19,0)),"Yes")="No","CLOSED",IF($M498="",IF($N498="","ON TRACK",IF($N498&lt;TODAY(),"OVERDUE",IF($N498-TODAY()&lt;=Settings!$C$5,"DUE SOON","ON TRACK"))),IF($P498&lt;=TODAY(),"FOLLOW-UP DUE","ON TRACK"))))</f>
        <v/>
      </c>
      <c r="S498" s="35"/>
      <c r="T498" s="35"/>
      <c r="U498" s="38"/>
      <c r="V498" s="34"/>
      <c r="W498" s="35" t="str">
        <f aca="false">IF(OR($R498="OVERDUE",$R498="DUE SOON",$R498="FOLLOW-UP DUE"),MAX(W$3:W497)+1,"")</f>
        <v/>
      </c>
    </row>
    <row r="499" customFormat="false" ht="15" hidden="false" customHeight="false" outlineLevel="0" collapsed="false">
      <c r="A499" s="33" t="str">
        <f aca="false">IF($D499="","","JOB-"&amp;TEXT(ROW()-3,"000"))</f>
        <v/>
      </c>
      <c r="B499" s="34"/>
      <c r="C499" s="35"/>
      <c r="D499" s="35"/>
      <c r="E499" s="35"/>
      <c r="F499" s="35"/>
      <c r="G499" s="33"/>
      <c r="H499" s="35"/>
      <c r="I499" s="35"/>
      <c r="J499" s="35"/>
      <c r="K499" s="33"/>
      <c r="L499" s="33"/>
      <c r="M499" s="34"/>
      <c r="N499" s="34"/>
      <c r="O499" s="34"/>
      <c r="P499" s="34" t="str">
        <f aca="false">IF(OR($D499="",$M499=""),"",IF(IFERROR(INDEX(Settings!$C$11:$C$19,MATCH($L499,Settings!$B$11:$B$19,0)),"Yes")="No","",MAX($M499,$O499)+Settings!$C$6))</f>
        <v/>
      </c>
      <c r="Q499" s="36" t="str">
        <f aca="true">IF($D499="","",IF(IFERROR(INDEX(Settings!$C$11:$C$19,MATCH($L499,Settings!$B$11:$B$19,0)),"Yes")="No","",IF($M499="",IF($N499="","",$N499-TODAY()),IF($P499="","",$P499-TODAY()))))</f>
        <v/>
      </c>
      <c r="R499" s="37" t="str">
        <f aca="true">IF($D499="","",IF(IFERROR(INDEX(Settings!$C$11:$C$19,MATCH($L499,Settings!$B$11:$B$19,0)),"Yes")="No","CLOSED",IF($M499="",IF($N499="","ON TRACK",IF($N499&lt;TODAY(),"OVERDUE",IF($N499-TODAY()&lt;=Settings!$C$5,"DUE SOON","ON TRACK"))),IF($P499&lt;=TODAY(),"FOLLOW-UP DUE","ON TRACK"))))</f>
        <v/>
      </c>
      <c r="S499" s="35"/>
      <c r="T499" s="35"/>
      <c r="U499" s="38"/>
      <c r="V499" s="34"/>
      <c r="W499" s="35" t="str">
        <f aca="false">IF(OR($R499="OVERDUE",$R499="DUE SOON",$R499="FOLLOW-UP DUE"),MAX(W$3:W498)+1,"")</f>
        <v/>
      </c>
    </row>
    <row r="500" customFormat="false" ht="15" hidden="false" customHeight="false" outlineLevel="0" collapsed="false">
      <c r="A500" s="33" t="str">
        <f aca="false">IF($D500="","","JOB-"&amp;TEXT(ROW()-3,"000"))</f>
        <v/>
      </c>
      <c r="B500" s="34"/>
      <c r="C500" s="35"/>
      <c r="D500" s="35"/>
      <c r="E500" s="35"/>
      <c r="F500" s="35"/>
      <c r="G500" s="33"/>
      <c r="H500" s="35"/>
      <c r="I500" s="35"/>
      <c r="J500" s="35"/>
      <c r="K500" s="33"/>
      <c r="L500" s="33"/>
      <c r="M500" s="34"/>
      <c r="N500" s="34"/>
      <c r="O500" s="34"/>
      <c r="P500" s="34" t="str">
        <f aca="false">IF(OR($D500="",$M500=""),"",IF(IFERROR(INDEX(Settings!$C$11:$C$19,MATCH($L500,Settings!$B$11:$B$19,0)),"Yes")="No","",MAX($M500,$O500)+Settings!$C$6))</f>
        <v/>
      </c>
      <c r="Q500" s="36" t="str">
        <f aca="true">IF($D500="","",IF(IFERROR(INDEX(Settings!$C$11:$C$19,MATCH($L500,Settings!$B$11:$B$19,0)),"Yes")="No","",IF($M500="",IF($N500="","",$N500-TODAY()),IF($P500="","",$P500-TODAY()))))</f>
        <v/>
      </c>
      <c r="R500" s="37" t="str">
        <f aca="true">IF($D500="","",IF(IFERROR(INDEX(Settings!$C$11:$C$19,MATCH($L500,Settings!$B$11:$B$19,0)),"Yes")="No","CLOSED",IF($M500="",IF($N500="","ON TRACK",IF($N500&lt;TODAY(),"OVERDUE",IF($N500-TODAY()&lt;=Settings!$C$5,"DUE SOON","ON TRACK"))),IF($P500&lt;=TODAY(),"FOLLOW-UP DUE","ON TRACK"))))</f>
        <v/>
      </c>
      <c r="S500" s="35"/>
      <c r="T500" s="35"/>
      <c r="U500" s="38"/>
      <c r="V500" s="34"/>
      <c r="W500" s="35" t="str">
        <f aca="false">IF(OR($R500="OVERDUE",$R500="DUE SOON",$R500="FOLLOW-UP DUE"),MAX(W$3:W499)+1,"")</f>
        <v/>
      </c>
    </row>
    <row r="501" customFormat="false" ht="15" hidden="false" customHeight="false" outlineLevel="0" collapsed="false">
      <c r="A501" s="33" t="str">
        <f aca="false">IF($D501="","","JOB-"&amp;TEXT(ROW()-3,"000"))</f>
        <v/>
      </c>
      <c r="B501" s="34"/>
      <c r="C501" s="35"/>
      <c r="D501" s="35"/>
      <c r="E501" s="35"/>
      <c r="F501" s="35"/>
      <c r="G501" s="33"/>
      <c r="H501" s="35"/>
      <c r="I501" s="35"/>
      <c r="J501" s="35"/>
      <c r="K501" s="33"/>
      <c r="L501" s="33"/>
      <c r="M501" s="34"/>
      <c r="N501" s="34"/>
      <c r="O501" s="34"/>
      <c r="P501" s="34" t="str">
        <f aca="false">IF(OR($D501="",$M501=""),"",IF(IFERROR(INDEX(Settings!$C$11:$C$19,MATCH($L501,Settings!$B$11:$B$19,0)),"Yes")="No","",MAX($M501,$O501)+Settings!$C$6))</f>
        <v/>
      </c>
      <c r="Q501" s="36" t="str">
        <f aca="true">IF($D501="","",IF(IFERROR(INDEX(Settings!$C$11:$C$19,MATCH($L501,Settings!$B$11:$B$19,0)),"Yes")="No","",IF($M501="",IF($N501="","",$N501-TODAY()),IF($P501="","",$P501-TODAY()))))</f>
        <v/>
      </c>
      <c r="R501" s="37" t="str">
        <f aca="true">IF($D501="","",IF(IFERROR(INDEX(Settings!$C$11:$C$19,MATCH($L501,Settings!$B$11:$B$19,0)),"Yes")="No","CLOSED",IF($M501="",IF($N501="","ON TRACK",IF($N501&lt;TODAY(),"OVERDUE",IF($N501-TODAY()&lt;=Settings!$C$5,"DUE SOON","ON TRACK"))),IF($P501&lt;=TODAY(),"FOLLOW-UP DUE","ON TRACK"))))</f>
        <v/>
      </c>
      <c r="S501" s="35"/>
      <c r="T501" s="35"/>
      <c r="U501" s="38"/>
      <c r="V501" s="34"/>
      <c r="W501" s="35" t="str">
        <f aca="false">IF(OR($R501="OVERDUE",$R501="DUE SOON",$R501="FOLLOW-UP DUE"),MAX(W$3:W500)+1,"")</f>
        <v/>
      </c>
    </row>
    <row r="502" customFormat="false" ht="15" hidden="false" customHeight="false" outlineLevel="0" collapsed="false">
      <c r="A502" s="33" t="str">
        <f aca="false">IF($D502="","","JOB-"&amp;TEXT(ROW()-3,"000"))</f>
        <v/>
      </c>
      <c r="B502" s="34"/>
      <c r="C502" s="35"/>
      <c r="D502" s="35"/>
      <c r="E502" s="35"/>
      <c r="F502" s="35"/>
      <c r="G502" s="33"/>
      <c r="H502" s="35"/>
      <c r="I502" s="35"/>
      <c r="J502" s="35"/>
      <c r="K502" s="33"/>
      <c r="L502" s="33"/>
      <c r="M502" s="34"/>
      <c r="N502" s="34"/>
      <c r="O502" s="34"/>
      <c r="P502" s="34" t="str">
        <f aca="false">IF(OR($D502="",$M502=""),"",IF(IFERROR(INDEX(Settings!$C$11:$C$19,MATCH($L502,Settings!$B$11:$B$19,0)),"Yes")="No","",MAX($M502,$O502)+Settings!$C$6))</f>
        <v/>
      </c>
      <c r="Q502" s="36" t="str">
        <f aca="true">IF($D502="","",IF(IFERROR(INDEX(Settings!$C$11:$C$19,MATCH($L502,Settings!$B$11:$B$19,0)),"Yes")="No","",IF($M502="",IF($N502="","",$N502-TODAY()),IF($P502="","",$P502-TODAY()))))</f>
        <v/>
      </c>
      <c r="R502" s="37" t="str">
        <f aca="true">IF($D502="","",IF(IFERROR(INDEX(Settings!$C$11:$C$19,MATCH($L502,Settings!$B$11:$B$19,0)),"Yes")="No","CLOSED",IF($M502="",IF($N502="","ON TRACK",IF($N502&lt;TODAY(),"OVERDUE",IF($N502-TODAY()&lt;=Settings!$C$5,"DUE SOON","ON TRACK"))),IF($P502&lt;=TODAY(),"FOLLOW-UP DUE","ON TRACK"))))</f>
        <v/>
      </c>
      <c r="S502" s="35"/>
      <c r="T502" s="35"/>
      <c r="U502" s="38"/>
      <c r="V502" s="34"/>
      <c r="W502" s="35" t="str">
        <f aca="false">IF(OR($R502="OVERDUE",$R502="DUE SOON",$R502="FOLLOW-UP DUE"),MAX(W$3:W501)+1,"")</f>
        <v/>
      </c>
    </row>
    <row r="503" customFormat="false" ht="15" hidden="false" customHeight="false" outlineLevel="0" collapsed="false">
      <c r="A503" s="33" t="str">
        <f aca="false">IF($D503="","","JOB-"&amp;TEXT(ROW()-3,"000"))</f>
        <v/>
      </c>
      <c r="B503" s="34"/>
      <c r="C503" s="35"/>
      <c r="D503" s="35"/>
      <c r="E503" s="35"/>
      <c r="F503" s="35"/>
      <c r="G503" s="33"/>
      <c r="H503" s="35"/>
      <c r="I503" s="35"/>
      <c r="J503" s="35"/>
      <c r="K503" s="33"/>
      <c r="L503" s="33"/>
      <c r="M503" s="34"/>
      <c r="N503" s="34"/>
      <c r="O503" s="34"/>
      <c r="P503" s="34" t="str">
        <f aca="false">IF(OR($D503="",$M503=""),"",IF(IFERROR(INDEX(Settings!$C$11:$C$19,MATCH($L503,Settings!$B$11:$B$19,0)),"Yes")="No","",MAX($M503,$O503)+Settings!$C$6))</f>
        <v/>
      </c>
      <c r="Q503" s="36" t="str">
        <f aca="true">IF($D503="","",IF(IFERROR(INDEX(Settings!$C$11:$C$19,MATCH($L503,Settings!$B$11:$B$19,0)),"Yes")="No","",IF($M503="",IF($N503="","",$N503-TODAY()),IF($P503="","",$P503-TODAY()))))</f>
        <v/>
      </c>
      <c r="R503" s="37" t="str">
        <f aca="true">IF($D503="","",IF(IFERROR(INDEX(Settings!$C$11:$C$19,MATCH($L503,Settings!$B$11:$B$19,0)),"Yes")="No","CLOSED",IF($M503="",IF($N503="","ON TRACK",IF($N503&lt;TODAY(),"OVERDUE",IF($N503-TODAY()&lt;=Settings!$C$5,"DUE SOON","ON TRACK"))),IF($P503&lt;=TODAY(),"FOLLOW-UP DUE","ON TRACK"))))</f>
        <v/>
      </c>
      <c r="S503" s="35"/>
      <c r="T503" s="35"/>
      <c r="U503" s="38"/>
      <c r="V503" s="34"/>
      <c r="W503" s="35" t="str">
        <f aca="false">IF(OR($R503="OVERDUE",$R503="DUE SOON",$R503="FOLLOW-UP DUE"),MAX(W$3:W502)+1,"")</f>
        <v/>
      </c>
    </row>
  </sheetData>
  <autoFilter ref="A3:W503"/>
  <conditionalFormatting sqref="R4:R503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2">
      <formula>"FOLLOW-UP DUE"</formula>
    </cfRule>
    <cfRule type="cellIs" priority="5" operator="equal" aboveAverage="0" equalAverage="0" bottom="0" percent="0" rank="0" text="" dxfId="21">
      <formula>"ON TRACK"</formula>
    </cfRule>
    <cfRule type="cellIs" priority="6" operator="equal" aboveAverage="0" equalAverage="0" bottom="0" percent="0" rank="0" text="" dxfId="22">
      <formula>"CLOSED"</formula>
    </cfRule>
  </conditionalFormatting>
  <conditionalFormatting sqref="L4:L503">
    <cfRule type="cellIs" priority="7" operator="equal" aboveAverage="0" equalAverage="0" bottom="0" percent="0" rank="0" text="" dxfId="23">
      <formula>"Wishlist"</formula>
    </cfRule>
    <cfRule type="cellIs" priority="8" operator="equal" aboveAverage="0" equalAverage="0" bottom="0" percent="0" rank="0" text="" dxfId="24">
      <formula>"To Apply"</formula>
    </cfRule>
    <cfRule type="cellIs" priority="9" operator="equal" aboveAverage="0" equalAverage="0" bottom="0" percent="0" rank="0" text="" dxfId="25">
      <formula>"Applied"</formula>
    </cfRule>
    <cfRule type="cellIs" priority="10" operator="equal" aboveAverage="0" equalAverage="0" bottom="0" percent="0" rank="0" text="" dxfId="26">
      <formula>"Interview"</formula>
    </cfRule>
    <cfRule type="cellIs" priority="11" operator="equal" aboveAverage="0" equalAverage="0" bottom="0" percent="0" rank="0" text="" dxfId="27">
      <formula>"Offer"</formula>
    </cfRule>
    <cfRule type="cellIs" priority="12" operator="equal" aboveAverage="0" equalAverage="0" bottom="0" percent="0" rank="0" text="" dxfId="28">
      <formula>"Accepted"</formula>
    </cfRule>
    <cfRule type="cellIs" priority="13" operator="equal" aboveAverage="0" equalAverage="0" bottom="0" percent="0" rank="0" text="" dxfId="29">
      <formula>"Rejected"</formula>
    </cfRule>
    <cfRule type="cellIs" priority="14" operator="equal" aboveAverage="0" equalAverage="0" bottom="0" percent="0" rank="0" text="" dxfId="30">
      <formula>"Withdrawn"</formula>
    </cfRule>
    <cfRule type="cellIs" priority="15" operator="equal" aboveAverage="0" equalAverage="0" bottom="0" percent="0" rank="0" text="" dxfId="30">
      <formula>"Ghosted"</formula>
    </cfRule>
  </conditionalFormatting>
  <conditionalFormatting sqref="K4:K503">
    <cfRule type="cellIs" priority="16" operator="equal" aboveAverage="0" equalAverage="0" bottom="0" percent="0" rank="0" text="" dxfId="31">
      <formula>"High"</formula>
    </cfRule>
  </conditionalFormatting>
  <conditionalFormatting sqref="Q4:Q503">
    <cfRule type="expression" priority="17" aboveAverage="0" equalAverage="0" bottom="0" percent="0" rank="0" text="" dxfId="31">
      <formula>AND(ISNUMBER(Q4),Q4&lt;0)</formula>
    </cfRule>
  </conditionalFormatting>
  <dataValidations count="5">
    <dataValidation allowBlank="true" errorStyle="stop" operator="between" showDropDown="false" showErrorMessage="false" showInputMessage="false" sqref="G4:G503" type="list">
      <formula1>Settings!$G$11:$G$13</formula1>
      <formula2>0</formula2>
    </dataValidation>
    <dataValidation allowBlank="true" errorStyle="stop" operator="between" showDropDown="false" showErrorMessage="false" showInputMessage="false" sqref="H4:H503" type="list">
      <formula1>Settings!$I$11:$I$17</formula1>
      <formula2>0</formula2>
    </dataValidation>
    <dataValidation allowBlank="true" errorStyle="stop" operator="between" showDropDown="false" showErrorMessage="false" showInputMessage="false" sqref="K4:K503" type="list">
      <formula1>Settings!$E$11:$E$13</formula1>
      <formula2>0</formula2>
    </dataValidation>
    <dataValidation allowBlank="true" errorStyle="stop" operator="between" showDropDown="false" showErrorMessage="false" showInputMessage="false" sqref="L4:L503" type="list">
      <formula1>Settings!$B$11:$B$19</formula1>
      <formula2>0</formula2>
    </dataValidation>
    <dataValidation allowBlank="true" error="Please enter a valid date, e.g. 15-Oct-2026" errorStyle="stop" errorTitle="Date needed" operator="greaterThan" showDropDown="false" showErrorMessage="true" showInputMessage="false" sqref="B4:B503 M4:O503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9" t="s">
        <v>95</v>
      </c>
      <c r="B1" s="39" t="s">
        <v>96</v>
      </c>
      <c r="C1" s="39" t="s">
        <v>97</v>
      </c>
      <c r="D1" s="39" t="s">
        <v>98</v>
      </c>
    </row>
    <row r="2" customFormat="false" ht="15" hidden="false" customHeight="false" outlineLevel="0" collapsed="false">
      <c r="A2" s="4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B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22"/>
  </cols>
  <sheetData>
    <row r="1" customFormat="false" ht="22.05" hidden="false" customHeight="false" outlineLevel="0" collapsed="false">
      <c r="B1" s="41" t="s">
        <v>100</v>
      </c>
    </row>
    <row r="2" customFormat="false" ht="15" hidden="false" customHeight="false" outlineLevel="0" collapsed="false">
      <c r="B2" s="2" t="s">
        <v>101</v>
      </c>
    </row>
    <row r="4" customFormat="false" ht="15" hidden="false" customHeight="false" outlineLevel="0" collapsed="false">
      <c r="B4" s="42" t="s">
        <v>102</v>
      </c>
      <c r="C4" s="43" t="s">
        <v>103</v>
      </c>
      <c r="D4" s="2" t="s">
        <v>104</v>
      </c>
    </row>
    <row r="5" customFormat="false" ht="15" hidden="false" customHeight="false" outlineLevel="0" collapsed="false">
      <c r="B5" s="42" t="s">
        <v>105</v>
      </c>
      <c r="C5" s="43" t="n">
        <v>3</v>
      </c>
      <c r="D5" s="2" t="s">
        <v>106</v>
      </c>
    </row>
    <row r="6" customFormat="false" ht="15" hidden="false" customHeight="false" outlineLevel="0" collapsed="false">
      <c r="B6" s="42" t="s">
        <v>107</v>
      </c>
      <c r="C6" s="43" t="n">
        <v>7</v>
      </c>
      <c r="D6" s="2" t="s">
        <v>108</v>
      </c>
    </row>
    <row r="7" customFormat="false" ht="15" hidden="false" customHeight="false" outlineLevel="0" collapsed="false">
      <c r="B7" s="42" t="s">
        <v>109</v>
      </c>
      <c r="C7" s="43" t="n">
        <v>2</v>
      </c>
      <c r="D7" s="2" t="s">
        <v>110</v>
      </c>
    </row>
    <row r="10" customFormat="false" ht="15" hidden="false" customHeight="false" outlineLevel="0" collapsed="false">
      <c r="B10" s="39" t="s">
        <v>11</v>
      </c>
      <c r="C10" s="39" t="s">
        <v>111</v>
      </c>
      <c r="E10" s="39" t="s">
        <v>35</v>
      </c>
      <c r="G10" s="39" t="s">
        <v>31</v>
      </c>
      <c r="I10" s="39" t="s">
        <v>32</v>
      </c>
      <c r="K10" s="39" t="s">
        <v>112</v>
      </c>
    </row>
    <row r="11" customFormat="false" ht="15" hidden="false" customHeight="false" outlineLevel="0" collapsed="false">
      <c r="B11" s="44" t="s">
        <v>113</v>
      </c>
      <c r="C11" s="45" t="s">
        <v>114</v>
      </c>
      <c r="E11" s="44" t="s">
        <v>54</v>
      </c>
      <c r="G11" s="44" t="s">
        <v>61</v>
      </c>
      <c r="I11" s="44" t="s">
        <v>51</v>
      </c>
      <c r="K11" s="44" t="s">
        <v>46</v>
      </c>
    </row>
    <row r="12" customFormat="false" ht="15" hidden="false" customHeight="false" outlineLevel="0" collapsed="false">
      <c r="B12" s="44" t="s">
        <v>55</v>
      </c>
      <c r="C12" s="45" t="s">
        <v>114</v>
      </c>
      <c r="E12" s="44" t="s">
        <v>73</v>
      </c>
      <c r="G12" s="44" t="s">
        <v>50</v>
      </c>
      <c r="I12" s="44" t="s">
        <v>62</v>
      </c>
      <c r="K12" s="44"/>
    </row>
    <row r="13" customFormat="false" ht="15" hidden="false" customHeight="false" outlineLevel="0" collapsed="false">
      <c r="B13" s="44" t="s">
        <v>2</v>
      </c>
      <c r="C13" s="45" t="s">
        <v>114</v>
      </c>
      <c r="E13" s="44" t="s">
        <v>92</v>
      </c>
      <c r="G13" s="44" t="s">
        <v>69</v>
      </c>
      <c r="I13" s="44" t="s">
        <v>79</v>
      </c>
      <c r="K13" s="44"/>
    </row>
    <row r="14" customFormat="false" ht="15" hidden="false" customHeight="false" outlineLevel="0" collapsed="false">
      <c r="B14" s="44" t="s">
        <v>82</v>
      </c>
      <c r="C14" s="45" t="s">
        <v>114</v>
      </c>
      <c r="I14" s="44" t="s">
        <v>70</v>
      </c>
      <c r="K14" s="44"/>
    </row>
    <row r="15" customFormat="false" ht="15" hidden="false" customHeight="false" outlineLevel="0" collapsed="false">
      <c r="B15" s="44" t="s">
        <v>115</v>
      </c>
      <c r="C15" s="45" t="s">
        <v>114</v>
      </c>
      <c r="I15" s="44" t="s">
        <v>116</v>
      </c>
      <c r="K15" s="44"/>
    </row>
    <row r="16" customFormat="false" ht="15" hidden="false" customHeight="false" outlineLevel="0" collapsed="false">
      <c r="B16" s="44" t="s">
        <v>117</v>
      </c>
      <c r="C16" s="45" t="s">
        <v>118</v>
      </c>
      <c r="I16" s="44" t="s">
        <v>89</v>
      </c>
      <c r="K16" s="44"/>
    </row>
    <row r="17" customFormat="false" ht="15" hidden="false" customHeight="false" outlineLevel="0" collapsed="false">
      <c r="B17" s="44" t="s">
        <v>93</v>
      </c>
      <c r="C17" s="45" t="s">
        <v>118</v>
      </c>
      <c r="I17" s="44" t="s">
        <v>119</v>
      </c>
    </row>
    <row r="18" customFormat="false" ht="15" hidden="false" customHeight="false" outlineLevel="0" collapsed="false">
      <c r="B18" s="44" t="s">
        <v>120</v>
      </c>
      <c r="C18" s="45" t="s">
        <v>118</v>
      </c>
    </row>
    <row r="19" customFormat="false" ht="15" hidden="false" customHeight="false" outlineLevel="0" collapsed="false">
      <c r="B19" s="44" t="s">
        <v>121</v>
      </c>
      <c r="C19" s="45" t="s">
        <v>118</v>
      </c>
    </row>
    <row r="21" customFormat="false" ht="15" hidden="false" customHeight="false" outlineLevel="0" collapsed="false">
      <c r="B21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6.15" hidden="false" customHeight="false" outlineLevel="0" collapsed="false">
      <c r="B2" s="46" t="s">
        <v>123</v>
      </c>
    </row>
    <row r="3" customFormat="false" ht="26.85" hidden="false" customHeight="false" outlineLevel="0" collapsed="false">
      <c r="B3" s="47" t="s">
        <v>124</v>
      </c>
    </row>
    <row r="4" customFormat="false" ht="15" hidden="false" customHeight="false" outlineLevel="0" collapsed="false">
      <c r="B4" s="47" t="s">
        <v>125</v>
      </c>
    </row>
    <row r="5" customFormat="false" ht="26.85" hidden="false" customHeight="false" outlineLevel="0" collapsed="false">
      <c r="B5" s="47" t="s">
        <v>126</v>
      </c>
    </row>
    <row r="6" customFormat="false" ht="26.85" hidden="false" customHeight="false" outlineLevel="0" collapsed="false">
      <c r="B6" s="47" t="s">
        <v>127</v>
      </c>
    </row>
    <row r="7" customFormat="false" ht="26.85" hidden="false" customHeight="false" outlineLevel="0" collapsed="false">
      <c r="B7" s="47" t="s">
        <v>128</v>
      </c>
    </row>
    <row r="8" customFormat="false" ht="26.85" hidden="false" customHeight="false" outlineLevel="0" collapsed="false">
      <c r="B8" s="47" t="s">
        <v>129</v>
      </c>
    </row>
    <row r="9" customFormat="false" ht="15" hidden="false" customHeight="false" outlineLevel="0" collapsed="false">
      <c r="B9" s="47"/>
    </row>
    <row r="10" customFormat="false" ht="16.15" hidden="false" customHeight="false" outlineLevel="0" collapsed="false">
      <c r="B10" s="46" t="s">
        <v>130</v>
      </c>
    </row>
    <row r="11" customFormat="false" ht="15" hidden="false" customHeight="false" outlineLevel="0" collapsed="false">
      <c r="B11" s="47" t="s">
        <v>131</v>
      </c>
    </row>
    <row r="12" customFormat="false" ht="15" hidden="false" customHeight="false" outlineLevel="0" collapsed="false">
      <c r="B12" s="47" t="s">
        <v>132</v>
      </c>
    </row>
    <row r="13" customFormat="false" ht="15" hidden="false" customHeight="false" outlineLevel="0" collapsed="false">
      <c r="B13" s="47" t="s">
        <v>133</v>
      </c>
    </row>
    <row r="14" customFormat="false" ht="15" hidden="false" customHeight="false" outlineLevel="0" collapsed="false">
      <c r="B14" s="47" t="s">
        <v>134</v>
      </c>
    </row>
    <row r="15" customFormat="false" ht="26.85" hidden="false" customHeight="false" outlineLevel="0" collapsed="false">
      <c r="B15" s="47" t="s">
        <v>135</v>
      </c>
    </row>
    <row r="16" customFormat="false" ht="15" hidden="false" customHeight="false" outlineLevel="0" collapsed="false">
      <c r="B16" s="47"/>
    </row>
    <row r="17" customFormat="false" ht="16.15" hidden="false" customHeight="false" outlineLevel="0" collapsed="false">
      <c r="B17" s="46" t="s">
        <v>136</v>
      </c>
    </row>
    <row r="18" customFormat="false" ht="26.85" hidden="false" customHeight="false" outlineLevel="0" collapsed="false">
      <c r="B18" s="47" t="s">
        <v>137</v>
      </c>
    </row>
    <row r="19" customFormat="false" ht="15" hidden="false" customHeight="false" outlineLevel="0" collapsed="false">
      <c r="B19" s="47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2026-10-07T09:55:04Z</dcterms:created>
  <dc:creator>openpyxl</dc:creator>
  <dc:description/>
  <dc:language>en-US</dc:language>
  <cp:lastModifiedBy/>
  <dcterms:modified xsi:type="dcterms:W3CDTF">2026-10-07T09:55:08Z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